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0.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8_{B2694D4E-336D-45A0-968C-5EFBFB5E3FDF}" xr6:coauthVersionLast="47" xr6:coauthVersionMax="47" xr10:uidLastSave="{00000000-0000-0000-0000-000000000000}"/>
  <bookViews>
    <workbookView xWindow="-110" yWindow="-110" windowWidth="19420" windowHeight="10300" firstSheet="23" activeTab="24" xr2:uid="{AA5516E7-D696-41B0-BF98-CB1D6E102A13}"/>
  </bookViews>
  <sheets>
    <sheet name="Excel_jumia_dataset" sheetId="1" r:id="rId1"/>
    <sheet name="Data Cleaning and Preparation" sheetId="2" r:id="rId2"/>
    <sheet name="Data Enrichment" sheetId="3" r:id="rId3"/>
    <sheet name="Data Analysis Dscr. Stat." sheetId="4" r:id="rId4"/>
    <sheet name="Trend Analysis Master" sheetId="6" r:id="rId5"/>
    <sheet name="Trend Analysis 1" sheetId="8" r:id="rId6"/>
    <sheet name="Trend Analysis 2" sheetId="10" r:id="rId7"/>
    <sheet name="Trend Analysis 3" sheetId="12" r:id="rId8"/>
    <sheet name="Trend Analysis 4" sheetId="11" r:id="rId9"/>
    <sheet name="Trend Analysis 5" sheetId="13" r:id="rId10"/>
    <sheet name="Price Categories" sheetId="30" r:id="rId11"/>
    <sheet name="Rating Categories" sheetId="28" r:id="rId12"/>
    <sheet name="Discount Categories" sheetId="29" r:id="rId13"/>
    <sheet name="Product Perf. Analysis Master  " sheetId="14" r:id="rId14"/>
    <sheet name="Product Performance Analysis 1" sheetId="16" r:id="rId15"/>
    <sheet name="Product Performance Analysis 2" sheetId="17" r:id="rId16"/>
    <sheet name="Product Performance Analysis 3" sheetId="18" r:id="rId17"/>
    <sheet name="Product Performance Analysis 4" sheetId="19" r:id="rId18"/>
    <sheet name="Product Performance Analysis 5" sheetId="20" r:id="rId19"/>
    <sheet name="Seller Performance Analysis" sheetId="21" r:id="rId20"/>
    <sheet name="Seller Performance Analysis 1" sheetId="22" r:id="rId21"/>
    <sheet name="Seller Performance Analysis 2" sheetId="23" r:id="rId22"/>
    <sheet name="Seller Performance Analysis 3" sheetId="24" r:id="rId23"/>
    <sheet name="Seller Performance Analysis 4" sheetId="25" r:id="rId24"/>
    <sheet name="Dashboard Section Layout" sheetId="26" r:id="rId25"/>
  </sheets>
  <definedNames>
    <definedName name="Slicer_Discount">#N/A</definedName>
    <definedName name="Slicer_Discount_Category2">#N/A</definedName>
    <definedName name="Slicer_Price_Category2">#N/A</definedName>
    <definedName name="Slicer_Rating">#N/A</definedName>
    <definedName name="Slicer_Rating_Category2">#N/A</definedName>
    <definedName name="Slicer_Review">#N/A</definedName>
  </definedNames>
  <calcPr calcId="191029"/>
  <pivotCaches>
    <pivotCache cacheId="114" r:id="rId26"/>
    <pivotCache cacheId="123" r:id="rId27"/>
    <pivotCache cacheId="127" r:id="rId28"/>
    <pivotCache cacheId="134" r:id="rId29"/>
  </pivotCaches>
  <extLst>
    <ext xmlns:x14="http://schemas.microsoft.com/office/spreadsheetml/2009/9/main" uri="{BBE1A952-AA13-448e-AADC-164F8A28A991}">
      <x14:slicerCaches>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3" i="4" l="1"/>
  <c r="J113" i="21"/>
  <c r="G113" i="21"/>
  <c r="E113" i="21"/>
  <c r="D113" i="21"/>
  <c r="J112" i="21"/>
  <c r="G112" i="21"/>
  <c r="E112" i="21"/>
  <c r="D112" i="21"/>
  <c r="J111" i="21"/>
  <c r="G111" i="21"/>
  <c r="E111" i="21"/>
  <c r="D111" i="21"/>
  <c r="J110" i="21"/>
  <c r="G110" i="21"/>
  <c r="E110" i="21"/>
  <c r="D110" i="21"/>
  <c r="J109" i="21"/>
  <c r="G109" i="21"/>
  <c r="E109" i="21"/>
  <c r="D109" i="21"/>
  <c r="J108" i="21"/>
  <c r="G108" i="21"/>
  <c r="E108" i="21"/>
  <c r="D108" i="21"/>
  <c r="J107" i="21"/>
  <c r="G107" i="21"/>
  <c r="E107" i="21"/>
  <c r="D107" i="21"/>
  <c r="J106" i="21"/>
  <c r="G106" i="21"/>
  <c r="E106" i="21"/>
  <c r="D106" i="21"/>
  <c r="J105" i="21"/>
  <c r="G105" i="21"/>
  <c r="E105" i="21"/>
  <c r="D105" i="21"/>
  <c r="J104" i="21"/>
  <c r="G104" i="21"/>
  <c r="E104" i="21"/>
  <c r="D104" i="21"/>
  <c r="J103" i="21"/>
  <c r="G103" i="21"/>
  <c r="E103" i="21"/>
  <c r="D103" i="21"/>
  <c r="J102" i="21"/>
  <c r="G102" i="21"/>
  <c r="E102" i="21"/>
  <c r="D102" i="21"/>
  <c r="J101" i="21"/>
  <c r="G101" i="21"/>
  <c r="E101" i="21"/>
  <c r="D101" i="21"/>
  <c r="J100" i="21"/>
  <c r="G100" i="21"/>
  <c r="E100" i="21"/>
  <c r="D100" i="21"/>
  <c r="J99" i="21"/>
  <c r="G99" i="21"/>
  <c r="E99" i="21"/>
  <c r="D99" i="21"/>
  <c r="J98" i="21"/>
  <c r="G98" i="21"/>
  <c r="E98" i="21"/>
  <c r="D98" i="21"/>
  <c r="J97" i="21"/>
  <c r="G97" i="21"/>
  <c r="E97" i="21"/>
  <c r="D97" i="21"/>
  <c r="J96" i="21"/>
  <c r="G96" i="21"/>
  <c r="E96" i="21"/>
  <c r="D96" i="21"/>
  <c r="J95" i="21"/>
  <c r="G95" i="21"/>
  <c r="E95" i="21"/>
  <c r="D95" i="21"/>
  <c r="J94" i="21"/>
  <c r="G94" i="21"/>
  <c r="E94" i="21"/>
  <c r="D94" i="21"/>
  <c r="J93" i="21"/>
  <c r="G93" i="21"/>
  <c r="E93" i="21"/>
  <c r="D93" i="21"/>
  <c r="J92" i="21"/>
  <c r="G92" i="21"/>
  <c r="E92" i="21"/>
  <c r="D92" i="21"/>
  <c r="J91" i="21"/>
  <c r="G91" i="21"/>
  <c r="E91" i="21"/>
  <c r="D91" i="21"/>
  <c r="J90" i="21"/>
  <c r="G90" i="21"/>
  <c r="E90" i="21"/>
  <c r="D90" i="21"/>
  <c r="J89" i="21"/>
  <c r="G89" i="21"/>
  <c r="E89" i="21"/>
  <c r="D89" i="21"/>
  <c r="J88" i="21"/>
  <c r="G88" i="21"/>
  <c r="E88" i="21"/>
  <c r="D88" i="21"/>
  <c r="J87" i="21"/>
  <c r="G87" i="21"/>
  <c r="E87" i="21"/>
  <c r="D87" i="21"/>
  <c r="J86" i="21"/>
  <c r="G86" i="21"/>
  <c r="E86" i="21"/>
  <c r="D86" i="21"/>
  <c r="J85" i="21"/>
  <c r="G85" i="21"/>
  <c r="E85" i="21"/>
  <c r="D85" i="21"/>
  <c r="J84" i="21"/>
  <c r="G84" i="21"/>
  <c r="E84" i="21"/>
  <c r="D84" i="21"/>
  <c r="J83" i="21"/>
  <c r="G83" i="21"/>
  <c r="E83" i="21"/>
  <c r="D83" i="21"/>
  <c r="J82" i="21"/>
  <c r="G82" i="21"/>
  <c r="E82" i="21"/>
  <c r="D82" i="21"/>
  <c r="J81" i="21"/>
  <c r="G81" i="21"/>
  <c r="E81" i="21"/>
  <c r="D81" i="21"/>
  <c r="J80" i="21"/>
  <c r="G80" i="21"/>
  <c r="E80" i="21"/>
  <c r="D80" i="21"/>
  <c r="J79" i="21"/>
  <c r="G79" i="21"/>
  <c r="E79" i="21"/>
  <c r="D79" i="21"/>
  <c r="J78" i="21"/>
  <c r="G78" i="21"/>
  <c r="E78" i="21"/>
  <c r="D78" i="21"/>
  <c r="J77" i="21"/>
  <c r="G77" i="21"/>
  <c r="E77" i="21"/>
  <c r="D77" i="21"/>
  <c r="J76" i="21"/>
  <c r="G76" i="21"/>
  <c r="E76" i="21"/>
  <c r="D76" i="21"/>
  <c r="J75" i="21"/>
  <c r="G75" i="21"/>
  <c r="E75" i="21"/>
  <c r="D75" i="21"/>
  <c r="J74" i="21"/>
  <c r="G74" i="21"/>
  <c r="E74" i="21"/>
  <c r="D74" i="21"/>
  <c r="J73" i="21"/>
  <c r="G73" i="21"/>
  <c r="E73" i="21"/>
  <c r="D73" i="21"/>
  <c r="J72" i="21"/>
  <c r="G72" i="21"/>
  <c r="E72" i="21"/>
  <c r="D72" i="21"/>
  <c r="J71" i="21"/>
  <c r="G71" i="21"/>
  <c r="E71" i="21"/>
  <c r="D71" i="21"/>
  <c r="J70" i="21"/>
  <c r="G70" i="21"/>
  <c r="E70" i="21"/>
  <c r="D70" i="21"/>
  <c r="J69" i="21"/>
  <c r="G69" i="21"/>
  <c r="E69" i="21"/>
  <c r="D69" i="21"/>
  <c r="J68" i="21"/>
  <c r="G68" i="21"/>
  <c r="E68" i="21"/>
  <c r="D68" i="21"/>
  <c r="J67" i="21"/>
  <c r="G67" i="21"/>
  <c r="E67" i="21"/>
  <c r="D67" i="21"/>
  <c r="J66" i="21"/>
  <c r="G66" i="21"/>
  <c r="E66" i="21"/>
  <c r="D66" i="21"/>
  <c r="J65" i="21"/>
  <c r="G65" i="21"/>
  <c r="E65" i="21"/>
  <c r="D65" i="21"/>
  <c r="J64" i="21"/>
  <c r="G64" i="21"/>
  <c r="E64" i="21"/>
  <c r="D64" i="21"/>
  <c r="J63" i="21"/>
  <c r="G63" i="21"/>
  <c r="E63" i="21"/>
  <c r="D63" i="21"/>
  <c r="J62" i="21"/>
  <c r="G62" i="21"/>
  <c r="E62" i="21"/>
  <c r="D62" i="21"/>
  <c r="J61" i="21"/>
  <c r="G61" i="21"/>
  <c r="E61" i="21"/>
  <c r="D61" i="21"/>
  <c r="J60" i="21"/>
  <c r="G60" i="21"/>
  <c r="E60" i="21"/>
  <c r="D60" i="21"/>
  <c r="J59" i="21"/>
  <c r="G59" i="21"/>
  <c r="E59" i="21"/>
  <c r="D59" i="21"/>
  <c r="J58" i="21"/>
  <c r="G58" i="21"/>
  <c r="E58" i="21"/>
  <c r="D58" i="21"/>
  <c r="J57" i="21"/>
  <c r="G57" i="21"/>
  <c r="E57" i="21"/>
  <c r="D57" i="21"/>
  <c r="J56" i="21"/>
  <c r="G56" i="21"/>
  <c r="E56" i="21"/>
  <c r="D56" i="21"/>
  <c r="J55" i="21"/>
  <c r="G55" i="21"/>
  <c r="E55" i="21"/>
  <c r="D55" i="21"/>
  <c r="J54" i="21"/>
  <c r="G54" i="21"/>
  <c r="E54" i="21"/>
  <c r="D54" i="21"/>
  <c r="J53" i="21"/>
  <c r="G53" i="21"/>
  <c r="E53" i="21"/>
  <c r="D53" i="21"/>
  <c r="J52" i="21"/>
  <c r="G52" i="21"/>
  <c r="E52" i="21"/>
  <c r="D52" i="21"/>
  <c r="J51" i="21"/>
  <c r="G51" i="21"/>
  <c r="E51" i="21"/>
  <c r="D51" i="21"/>
  <c r="J50" i="21"/>
  <c r="G50" i="21"/>
  <c r="E50" i="21"/>
  <c r="D50" i="21"/>
  <c r="J49" i="21"/>
  <c r="G49" i="21"/>
  <c r="E49" i="21"/>
  <c r="D49" i="21"/>
  <c r="J48" i="21"/>
  <c r="G48" i="21"/>
  <c r="E48" i="21"/>
  <c r="D48" i="21"/>
  <c r="J47" i="21"/>
  <c r="G47" i="21"/>
  <c r="E47" i="21"/>
  <c r="D47" i="21"/>
  <c r="J46" i="21"/>
  <c r="G46" i="21"/>
  <c r="E46" i="21"/>
  <c r="D46" i="21"/>
  <c r="J45" i="21"/>
  <c r="G45" i="21"/>
  <c r="E45" i="21"/>
  <c r="D45" i="21"/>
  <c r="J44" i="21"/>
  <c r="G44" i="21"/>
  <c r="E44" i="21"/>
  <c r="D44" i="21"/>
  <c r="J43" i="21"/>
  <c r="G43" i="21"/>
  <c r="E43" i="21"/>
  <c r="D43" i="21"/>
  <c r="J42" i="21"/>
  <c r="G42" i="21"/>
  <c r="E42" i="21"/>
  <c r="D42" i="21"/>
  <c r="J41" i="21"/>
  <c r="G41" i="21"/>
  <c r="E41" i="21"/>
  <c r="D41" i="21"/>
  <c r="J40" i="21"/>
  <c r="G40" i="21"/>
  <c r="C40" i="21"/>
  <c r="E40" i="21" s="1"/>
  <c r="B40" i="21"/>
  <c r="D40" i="21" s="1"/>
  <c r="J39" i="21"/>
  <c r="G39" i="21"/>
  <c r="E39" i="21"/>
  <c r="D39" i="21"/>
  <c r="J38" i="21"/>
  <c r="G38" i="21"/>
  <c r="E38" i="21"/>
  <c r="D38" i="21"/>
  <c r="J37" i="21"/>
  <c r="G37" i="21"/>
  <c r="E37" i="21"/>
  <c r="D37" i="21"/>
  <c r="J36" i="21"/>
  <c r="G36" i="21"/>
  <c r="E36" i="21"/>
  <c r="D36" i="21"/>
  <c r="J35" i="21"/>
  <c r="G35" i="21"/>
  <c r="E35" i="21"/>
  <c r="D35" i="21"/>
  <c r="J34" i="21"/>
  <c r="G34" i="21"/>
  <c r="E34" i="21"/>
  <c r="D34" i="21"/>
  <c r="J33" i="21"/>
  <c r="G33" i="21"/>
  <c r="E33" i="21"/>
  <c r="D33" i="21"/>
  <c r="J32" i="21"/>
  <c r="G32" i="21"/>
  <c r="E32" i="21"/>
  <c r="D32" i="21"/>
  <c r="J31" i="21"/>
  <c r="G31" i="21"/>
  <c r="E31" i="21"/>
  <c r="D31" i="21"/>
  <c r="J30" i="21"/>
  <c r="G30" i="21"/>
  <c r="E30" i="21"/>
  <c r="D30" i="21"/>
  <c r="J29" i="21"/>
  <c r="G29" i="21"/>
  <c r="E29" i="21"/>
  <c r="D29" i="21"/>
  <c r="J28" i="21"/>
  <c r="G28" i="21"/>
  <c r="E28" i="21"/>
  <c r="D28" i="21"/>
  <c r="J27" i="21"/>
  <c r="G27" i="21"/>
  <c r="E27" i="21"/>
  <c r="D27" i="21"/>
  <c r="J26" i="21"/>
  <c r="G26" i="21"/>
  <c r="E26" i="21"/>
  <c r="D26" i="21"/>
  <c r="J25" i="21"/>
  <c r="G25" i="21"/>
  <c r="E25" i="21"/>
  <c r="D25" i="21"/>
  <c r="J24" i="21"/>
  <c r="G24" i="21"/>
  <c r="E24" i="21"/>
  <c r="D24" i="21"/>
  <c r="J23" i="21"/>
  <c r="G23" i="21"/>
  <c r="E23" i="21"/>
  <c r="D23" i="21"/>
  <c r="J22" i="21"/>
  <c r="G22" i="21"/>
  <c r="E22" i="21"/>
  <c r="D22" i="21"/>
  <c r="J21" i="21"/>
  <c r="G21" i="21"/>
  <c r="E21" i="21"/>
  <c r="D21" i="21"/>
  <c r="J20" i="21"/>
  <c r="G20" i="21"/>
  <c r="E20" i="21"/>
  <c r="D20" i="21"/>
  <c r="J19" i="21"/>
  <c r="G19" i="21"/>
  <c r="E19" i="21"/>
  <c r="D19" i="21"/>
  <c r="J18" i="21"/>
  <c r="G18" i="21"/>
  <c r="E18" i="21"/>
  <c r="D18" i="21"/>
  <c r="J17" i="21"/>
  <c r="G17" i="21"/>
  <c r="E17" i="21"/>
  <c r="D17" i="21"/>
  <c r="J16" i="21"/>
  <c r="G16" i="21"/>
  <c r="E16" i="21"/>
  <c r="D16" i="21"/>
  <c r="J15" i="21"/>
  <c r="G15" i="21"/>
  <c r="E15" i="21"/>
  <c r="D15" i="21"/>
  <c r="J14" i="21"/>
  <c r="G14" i="21"/>
  <c r="E14" i="21"/>
  <c r="D14" i="21"/>
  <c r="J13" i="21"/>
  <c r="G13" i="21"/>
  <c r="E13" i="21"/>
  <c r="D13" i="21"/>
  <c r="J12" i="21"/>
  <c r="G12" i="21"/>
  <c r="E12" i="21"/>
  <c r="D12" i="21"/>
  <c r="J11" i="21"/>
  <c r="G11" i="21"/>
  <c r="E11" i="21"/>
  <c r="D11" i="21"/>
  <c r="J10" i="21"/>
  <c r="G10" i="21"/>
  <c r="E10" i="21"/>
  <c r="D10" i="21"/>
  <c r="J9" i="21"/>
  <c r="G9" i="21"/>
  <c r="E9" i="21"/>
  <c r="D9" i="21"/>
  <c r="J8" i="21"/>
  <c r="G8" i="21"/>
  <c r="E8" i="21"/>
  <c r="D8" i="21"/>
  <c r="J7" i="21"/>
  <c r="G7" i="21"/>
  <c r="E7" i="21"/>
  <c r="D7" i="21"/>
  <c r="J6" i="21"/>
  <c r="G6" i="21"/>
  <c r="E6" i="21"/>
  <c r="D6" i="21"/>
  <c r="J5" i="21"/>
  <c r="G5" i="21"/>
  <c r="E5" i="21"/>
  <c r="D5" i="21"/>
  <c r="J4" i="21"/>
  <c r="G4" i="21"/>
  <c r="E4" i="21"/>
  <c r="D4" i="21"/>
  <c r="J3" i="21"/>
  <c r="G3" i="21"/>
  <c r="E3" i="21"/>
  <c r="D3" i="21"/>
  <c r="J2" i="21"/>
  <c r="G2" i="21"/>
  <c r="E2" i="21"/>
  <c r="D2" i="21"/>
  <c r="I115" i="14"/>
  <c r="H115" i="14"/>
  <c r="F115" i="14"/>
  <c r="A115" i="14"/>
  <c r="J113" i="14"/>
  <c r="G113" i="14"/>
  <c r="E113" i="14"/>
  <c r="D113" i="14"/>
  <c r="J112" i="14"/>
  <c r="G112" i="14"/>
  <c r="E112" i="14"/>
  <c r="D112" i="14"/>
  <c r="J111" i="14"/>
  <c r="G111" i="14"/>
  <c r="E111" i="14"/>
  <c r="D111" i="14"/>
  <c r="J110" i="14"/>
  <c r="G110" i="14"/>
  <c r="E110" i="14"/>
  <c r="D110" i="14"/>
  <c r="J109" i="14"/>
  <c r="G109" i="14"/>
  <c r="E109" i="14"/>
  <c r="D109" i="14"/>
  <c r="J108" i="14"/>
  <c r="G108" i="14"/>
  <c r="E108" i="14"/>
  <c r="D108" i="14"/>
  <c r="J107" i="14"/>
  <c r="G107" i="14"/>
  <c r="E107" i="14"/>
  <c r="D107" i="14"/>
  <c r="J106" i="14"/>
  <c r="G106" i="14"/>
  <c r="E106" i="14"/>
  <c r="D106" i="14"/>
  <c r="J105" i="14"/>
  <c r="G105" i="14"/>
  <c r="E105" i="14"/>
  <c r="D105" i="14"/>
  <c r="J104" i="14"/>
  <c r="G104" i="14"/>
  <c r="E104" i="14"/>
  <c r="D104" i="14"/>
  <c r="J103" i="14"/>
  <c r="G103" i="14"/>
  <c r="E103" i="14"/>
  <c r="D103" i="14"/>
  <c r="J102" i="14"/>
  <c r="G102" i="14"/>
  <c r="E102" i="14"/>
  <c r="D102" i="14"/>
  <c r="J101" i="14"/>
  <c r="G101" i="14"/>
  <c r="E101" i="14"/>
  <c r="D101" i="14"/>
  <c r="J100" i="14"/>
  <c r="G100" i="14"/>
  <c r="E100" i="14"/>
  <c r="D100" i="14"/>
  <c r="J99" i="14"/>
  <c r="G99" i="14"/>
  <c r="E99" i="14"/>
  <c r="D99" i="14"/>
  <c r="J98" i="14"/>
  <c r="G98" i="14"/>
  <c r="E98" i="14"/>
  <c r="D98" i="14"/>
  <c r="J97" i="14"/>
  <c r="G97" i="14"/>
  <c r="E97" i="14"/>
  <c r="D97" i="14"/>
  <c r="J96" i="14"/>
  <c r="G96" i="14"/>
  <c r="E96" i="14"/>
  <c r="D96" i="14"/>
  <c r="J95" i="14"/>
  <c r="G95" i="14"/>
  <c r="E95" i="14"/>
  <c r="D95" i="14"/>
  <c r="J94" i="14"/>
  <c r="G94" i="14"/>
  <c r="E94" i="14"/>
  <c r="D94" i="14"/>
  <c r="J93" i="14"/>
  <c r="G93" i="14"/>
  <c r="E93" i="14"/>
  <c r="D93" i="14"/>
  <c r="J92" i="14"/>
  <c r="G92" i="14"/>
  <c r="E92" i="14"/>
  <c r="D92" i="14"/>
  <c r="J91" i="14"/>
  <c r="G91" i="14"/>
  <c r="E91" i="14"/>
  <c r="D91" i="14"/>
  <c r="J90" i="14"/>
  <c r="G90" i="14"/>
  <c r="E90" i="14"/>
  <c r="D90" i="14"/>
  <c r="J89" i="14"/>
  <c r="G89" i="14"/>
  <c r="E89" i="14"/>
  <c r="D89" i="14"/>
  <c r="J88" i="14"/>
  <c r="G88" i="14"/>
  <c r="E88" i="14"/>
  <c r="D88" i="14"/>
  <c r="J87" i="14"/>
  <c r="G87" i="14"/>
  <c r="E87" i="14"/>
  <c r="D87" i="14"/>
  <c r="J86" i="14"/>
  <c r="G86" i="14"/>
  <c r="E86" i="14"/>
  <c r="D86" i="14"/>
  <c r="J85" i="14"/>
  <c r="G85" i="14"/>
  <c r="E85" i="14"/>
  <c r="D85" i="14"/>
  <c r="J84" i="14"/>
  <c r="G84" i="14"/>
  <c r="E84" i="14"/>
  <c r="D84" i="14"/>
  <c r="J83" i="14"/>
  <c r="G83" i="14"/>
  <c r="E83" i="14"/>
  <c r="D83" i="14"/>
  <c r="J82" i="14"/>
  <c r="G82" i="14"/>
  <c r="E82" i="14"/>
  <c r="D82" i="14"/>
  <c r="J81" i="14"/>
  <c r="G81" i="14"/>
  <c r="E81" i="14"/>
  <c r="D81" i="14"/>
  <c r="J80" i="14"/>
  <c r="G80" i="14"/>
  <c r="E80" i="14"/>
  <c r="D80" i="14"/>
  <c r="J79" i="14"/>
  <c r="G79" i="14"/>
  <c r="E79" i="14"/>
  <c r="D79" i="14"/>
  <c r="J78" i="14"/>
  <c r="G78" i="14"/>
  <c r="E78" i="14"/>
  <c r="D78" i="14"/>
  <c r="J77" i="14"/>
  <c r="G77" i="14"/>
  <c r="E77" i="14"/>
  <c r="D77" i="14"/>
  <c r="J76" i="14"/>
  <c r="G76" i="14"/>
  <c r="E76" i="14"/>
  <c r="D76" i="14"/>
  <c r="J75" i="14"/>
  <c r="G75" i="14"/>
  <c r="E75" i="14"/>
  <c r="D75" i="14"/>
  <c r="J74" i="14"/>
  <c r="G74" i="14"/>
  <c r="E74" i="14"/>
  <c r="D74" i="14"/>
  <c r="J73" i="14"/>
  <c r="G73" i="14"/>
  <c r="E73" i="14"/>
  <c r="D73" i="14"/>
  <c r="J72" i="14"/>
  <c r="G72" i="14"/>
  <c r="E72" i="14"/>
  <c r="D72" i="14"/>
  <c r="J71" i="14"/>
  <c r="G71" i="14"/>
  <c r="E71" i="14"/>
  <c r="D71" i="14"/>
  <c r="J70" i="14"/>
  <c r="G70" i="14"/>
  <c r="E70" i="14"/>
  <c r="D70" i="14"/>
  <c r="J69" i="14"/>
  <c r="G69" i="14"/>
  <c r="E69" i="14"/>
  <c r="D69" i="14"/>
  <c r="J68" i="14"/>
  <c r="G68" i="14"/>
  <c r="E68" i="14"/>
  <c r="D68" i="14"/>
  <c r="J67" i="14"/>
  <c r="G67" i="14"/>
  <c r="E67" i="14"/>
  <c r="D67" i="14"/>
  <c r="J66" i="14"/>
  <c r="G66" i="14"/>
  <c r="E66" i="14"/>
  <c r="D66" i="14"/>
  <c r="J65" i="14"/>
  <c r="G65" i="14"/>
  <c r="E65" i="14"/>
  <c r="D65" i="14"/>
  <c r="J64" i="14"/>
  <c r="G64" i="14"/>
  <c r="E64" i="14"/>
  <c r="D64" i="14"/>
  <c r="J63" i="14"/>
  <c r="G63" i="14"/>
  <c r="E63" i="14"/>
  <c r="D63" i="14"/>
  <c r="J62" i="14"/>
  <c r="G62" i="14"/>
  <c r="E62" i="14"/>
  <c r="D62" i="14"/>
  <c r="J61" i="14"/>
  <c r="G61" i="14"/>
  <c r="E61" i="14"/>
  <c r="D61" i="14"/>
  <c r="J60" i="14"/>
  <c r="G60" i="14"/>
  <c r="E60" i="14"/>
  <c r="D60" i="14"/>
  <c r="J59" i="14"/>
  <c r="G59" i="14"/>
  <c r="E59" i="14"/>
  <c r="D59" i="14"/>
  <c r="J58" i="14"/>
  <c r="G58" i="14"/>
  <c r="E58" i="14"/>
  <c r="D58" i="14"/>
  <c r="J57" i="14"/>
  <c r="G57" i="14"/>
  <c r="E57" i="14"/>
  <c r="D57" i="14"/>
  <c r="J56" i="14"/>
  <c r="G56" i="14"/>
  <c r="E56" i="14"/>
  <c r="D56" i="14"/>
  <c r="J55" i="14"/>
  <c r="G55" i="14"/>
  <c r="E55" i="14"/>
  <c r="D55" i="14"/>
  <c r="J54" i="14"/>
  <c r="G54" i="14"/>
  <c r="E54" i="14"/>
  <c r="D54" i="14"/>
  <c r="J53" i="14"/>
  <c r="G53" i="14"/>
  <c r="E53" i="14"/>
  <c r="D53" i="14"/>
  <c r="J52" i="14"/>
  <c r="G52" i="14"/>
  <c r="E52" i="14"/>
  <c r="D52" i="14"/>
  <c r="J51" i="14"/>
  <c r="G51" i="14"/>
  <c r="E51" i="14"/>
  <c r="D51" i="14"/>
  <c r="J50" i="14"/>
  <c r="G50" i="14"/>
  <c r="E50" i="14"/>
  <c r="D50" i="14"/>
  <c r="J49" i="14"/>
  <c r="G49" i="14"/>
  <c r="E49" i="14"/>
  <c r="D49" i="14"/>
  <c r="J48" i="14"/>
  <c r="G48" i="14"/>
  <c r="E48" i="14"/>
  <c r="D48" i="14"/>
  <c r="J47" i="14"/>
  <c r="G47" i="14"/>
  <c r="E47" i="14"/>
  <c r="D47" i="14"/>
  <c r="J46" i="14"/>
  <c r="G46" i="14"/>
  <c r="E46" i="14"/>
  <c r="D46" i="14"/>
  <c r="J45" i="14"/>
  <c r="G45" i="14"/>
  <c r="E45" i="14"/>
  <c r="D45" i="14"/>
  <c r="J44" i="14"/>
  <c r="G44" i="14"/>
  <c r="E44" i="14"/>
  <c r="D44" i="14"/>
  <c r="J43" i="14"/>
  <c r="G43" i="14"/>
  <c r="E43" i="14"/>
  <c r="D43" i="14"/>
  <c r="J42" i="14"/>
  <c r="G42" i="14"/>
  <c r="E42" i="14"/>
  <c r="D42" i="14"/>
  <c r="J41" i="14"/>
  <c r="G41" i="14"/>
  <c r="E41" i="14"/>
  <c r="D41" i="14"/>
  <c r="J40" i="14"/>
  <c r="G40" i="14"/>
  <c r="C40" i="14"/>
  <c r="B40" i="14"/>
  <c r="J39" i="14"/>
  <c r="G39" i="14"/>
  <c r="E39" i="14"/>
  <c r="D39" i="14"/>
  <c r="J38" i="14"/>
  <c r="G38" i="14"/>
  <c r="E38" i="14"/>
  <c r="D38" i="14"/>
  <c r="J37" i="14"/>
  <c r="G37" i="14"/>
  <c r="E37" i="14"/>
  <c r="D37" i="14"/>
  <c r="J36" i="14"/>
  <c r="G36" i="14"/>
  <c r="E36" i="14"/>
  <c r="D36" i="14"/>
  <c r="J35" i="14"/>
  <c r="G35" i="14"/>
  <c r="E35" i="14"/>
  <c r="D35" i="14"/>
  <c r="J34" i="14"/>
  <c r="G34" i="14"/>
  <c r="E34" i="14"/>
  <c r="D34" i="14"/>
  <c r="J33" i="14"/>
  <c r="G33" i="14"/>
  <c r="E33" i="14"/>
  <c r="D33" i="14"/>
  <c r="J32" i="14"/>
  <c r="G32" i="14"/>
  <c r="E32" i="14"/>
  <c r="D32" i="14"/>
  <c r="J31" i="14"/>
  <c r="G31" i="14"/>
  <c r="E31" i="14"/>
  <c r="D31" i="14"/>
  <c r="J30" i="14"/>
  <c r="G30" i="14"/>
  <c r="E30" i="14"/>
  <c r="D30" i="14"/>
  <c r="J29" i="14"/>
  <c r="G29" i="14"/>
  <c r="E29" i="14"/>
  <c r="D29" i="14"/>
  <c r="J28" i="14"/>
  <c r="G28" i="14"/>
  <c r="E28" i="14"/>
  <c r="D28" i="14"/>
  <c r="J27" i="14"/>
  <c r="G27" i="14"/>
  <c r="E27" i="14"/>
  <c r="D27" i="14"/>
  <c r="J26" i="14"/>
  <c r="G26" i="14"/>
  <c r="E26" i="14"/>
  <c r="D26" i="14"/>
  <c r="J25" i="14"/>
  <c r="G25" i="14"/>
  <c r="E25" i="14"/>
  <c r="D25" i="14"/>
  <c r="J24" i="14"/>
  <c r="G24" i="14"/>
  <c r="E24" i="14"/>
  <c r="D24" i="14"/>
  <c r="J23" i="14"/>
  <c r="G23" i="14"/>
  <c r="E23" i="14"/>
  <c r="D23" i="14"/>
  <c r="J22" i="14"/>
  <c r="G22" i="14"/>
  <c r="E22" i="14"/>
  <c r="D22" i="14"/>
  <c r="J21" i="14"/>
  <c r="G21" i="14"/>
  <c r="E21" i="14"/>
  <c r="D21" i="14"/>
  <c r="J20" i="14"/>
  <c r="G20" i="14"/>
  <c r="E20" i="14"/>
  <c r="D20" i="14"/>
  <c r="J19" i="14"/>
  <c r="G19" i="14"/>
  <c r="E19" i="14"/>
  <c r="D19" i="14"/>
  <c r="J18" i="14"/>
  <c r="G18" i="14"/>
  <c r="E18" i="14"/>
  <c r="D18" i="14"/>
  <c r="J17" i="14"/>
  <c r="G17" i="14"/>
  <c r="E17" i="14"/>
  <c r="D17" i="14"/>
  <c r="J16" i="14"/>
  <c r="G16" i="14"/>
  <c r="E16" i="14"/>
  <c r="D16" i="14"/>
  <c r="J15" i="14"/>
  <c r="G15" i="14"/>
  <c r="E15" i="14"/>
  <c r="D15" i="14"/>
  <c r="J14" i="14"/>
  <c r="G14" i="14"/>
  <c r="E14" i="14"/>
  <c r="D14" i="14"/>
  <c r="J13" i="14"/>
  <c r="G13" i="14"/>
  <c r="E13" i="14"/>
  <c r="D13" i="14"/>
  <c r="J12" i="14"/>
  <c r="G12" i="14"/>
  <c r="E12" i="14"/>
  <c r="D12" i="14"/>
  <c r="J11" i="14"/>
  <c r="G11" i="14"/>
  <c r="E11" i="14"/>
  <c r="D11" i="14"/>
  <c r="J10" i="14"/>
  <c r="G10" i="14"/>
  <c r="E10" i="14"/>
  <c r="D10" i="14"/>
  <c r="J9" i="14"/>
  <c r="G9" i="14"/>
  <c r="E9" i="14"/>
  <c r="D9" i="14"/>
  <c r="J8" i="14"/>
  <c r="G8" i="14"/>
  <c r="E8" i="14"/>
  <c r="D8" i="14"/>
  <c r="J7" i="14"/>
  <c r="G7" i="14"/>
  <c r="E7" i="14"/>
  <c r="D7" i="14"/>
  <c r="J6" i="14"/>
  <c r="G6" i="14"/>
  <c r="E6" i="14"/>
  <c r="D6" i="14"/>
  <c r="J5" i="14"/>
  <c r="G5" i="14"/>
  <c r="E5" i="14"/>
  <c r="D5" i="14"/>
  <c r="J4" i="14"/>
  <c r="G4" i="14"/>
  <c r="E4" i="14"/>
  <c r="D4" i="14"/>
  <c r="J3" i="14"/>
  <c r="G3" i="14"/>
  <c r="E3" i="14"/>
  <c r="D3" i="14"/>
  <c r="J2" i="14"/>
  <c r="G2" i="14"/>
  <c r="E2" i="14"/>
  <c r="D2" i="14"/>
  <c r="J3" i="6"/>
  <c r="J4" i="6"/>
  <c r="J5" i="6"/>
  <c r="J6" i="6"/>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I115" i="6"/>
  <c r="H115" i="6"/>
  <c r="F115" i="6"/>
  <c r="A115" i="6"/>
  <c r="G113" i="6"/>
  <c r="E113" i="6"/>
  <c r="D113" i="6"/>
  <c r="G112" i="6"/>
  <c r="E112" i="6"/>
  <c r="D112" i="6"/>
  <c r="G111" i="6"/>
  <c r="E111" i="6"/>
  <c r="D111" i="6"/>
  <c r="G110" i="6"/>
  <c r="E110" i="6"/>
  <c r="D110" i="6"/>
  <c r="G109" i="6"/>
  <c r="E109" i="6"/>
  <c r="D109" i="6"/>
  <c r="G108" i="6"/>
  <c r="E108" i="6"/>
  <c r="D108" i="6"/>
  <c r="G107" i="6"/>
  <c r="E107" i="6"/>
  <c r="D107" i="6"/>
  <c r="G106" i="6"/>
  <c r="E106" i="6"/>
  <c r="D106" i="6"/>
  <c r="G105" i="6"/>
  <c r="E105" i="6"/>
  <c r="D105" i="6"/>
  <c r="G104" i="6"/>
  <c r="E104" i="6"/>
  <c r="D104" i="6"/>
  <c r="G103" i="6"/>
  <c r="E103" i="6"/>
  <c r="D103" i="6"/>
  <c r="G102" i="6"/>
  <c r="E102" i="6"/>
  <c r="D102" i="6"/>
  <c r="G101" i="6"/>
  <c r="E101" i="6"/>
  <c r="D101" i="6"/>
  <c r="G100" i="6"/>
  <c r="E100" i="6"/>
  <c r="D100" i="6"/>
  <c r="G99" i="6"/>
  <c r="E99" i="6"/>
  <c r="D99" i="6"/>
  <c r="G98" i="6"/>
  <c r="E98" i="6"/>
  <c r="D98" i="6"/>
  <c r="G97" i="6"/>
  <c r="E97" i="6"/>
  <c r="D97" i="6"/>
  <c r="G96" i="6"/>
  <c r="E96" i="6"/>
  <c r="D96" i="6"/>
  <c r="G95" i="6"/>
  <c r="E95" i="6"/>
  <c r="D95" i="6"/>
  <c r="G94" i="6"/>
  <c r="E94" i="6"/>
  <c r="D94" i="6"/>
  <c r="G93" i="6"/>
  <c r="E93" i="6"/>
  <c r="D93" i="6"/>
  <c r="G92" i="6"/>
  <c r="E92" i="6"/>
  <c r="D92" i="6"/>
  <c r="G91" i="6"/>
  <c r="E91" i="6"/>
  <c r="D91" i="6"/>
  <c r="G90" i="6"/>
  <c r="E90" i="6"/>
  <c r="D90" i="6"/>
  <c r="G89" i="6"/>
  <c r="E89" i="6"/>
  <c r="D89" i="6"/>
  <c r="G88" i="6"/>
  <c r="E88" i="6"/>
  <c r="D88" i="6"/>
  <c r="G87" i="6"/>
  <c r="E87" i="6"/>
  <c r="D87" i="6"/>
  <c r="G86" i="6"/>
  <c r="E86" i="6"/>
  <c r="D86" i="6"/>
  <c r="G85" i="6"/>
  <c r="E85" i="6"/>
  <c r="D85" i="6"/>
  <c r="G84" i="6"/>
  <c r="E84" i="6"/>
  <c r="D84" i="6"/>
  <c r="G83" i="6"/>
  <c r="E83" i="6"/>
  <c r="D83" i="6"/>
  <c r="G82" i="6"/>
  <c r="E82" i="6"/>
  <c r="D82" i="6"/>
  <c r="G81" i="6"/>
  <c r="E81" i="6"/>
  <c r="D81" i="6"/>
  <c r="G80" i="6"/>
  <c r="E80" i="6"/>
  <c r="D80" i="6"/>
  <c r="G79" i="6"/>
  <c r="E79" i="6"/>
  <c r="D79" i="6"/>
  <c r="G78" i="6"/>
  <c r="E78" i="6"/>
  <c r="D78" i="6"/>
  <c r="G77" i="6"/>
  <c r="E77" i="6"/>
  <c r="D77" i="6"/>
  <c r="G76" i="6"/>
  <c r="E76" i="6"/>
  <c r="D76" i="6"/>
  <c r="G75" i="6"/>
  <c r="E75" i="6"/>
  <c r="D75" i="6"/>
  <c r="G74" i="6"/>
  <c r="E74" i="6"/>
  <c r="D74" i="6"/>
  <c r="G73" i="6"/>
  <c r="E73" i="6"/>
  <c r="D73" i="6"/>
  <c r="G72" i="6"/>
  <c r="E72" i="6"/>
  <c r="D72" i="6"/>
  <c r="G71" i="6"/>
  <c r="E71" i="6"/>
  <c r="D71" i="6"/>
  <c r="G70" i="6"/>
  <c r="E70" i="6"/>
  <c r="D70" i="6"/>
  <c r="G69" i="6"/>
  <c r="E69" i="6"/>
  <c r="D69" i="6"/>
  <c r="G68" i="6"/>
  <c r="E68" i="6"/>
  <c r="D68" i="6"/>
  <c r="G67" i="6"/>
  <c r="E67" i="6"/>
  <c r="D67" i="6"/>
  <c r="G66" i="6"/>
  <c r="E66" i="6"/>
  <c r="D66" i="6"/>
  <c r="G65" i="6"/>
  <c r="E65" i="6"/>
  <c r="D65" i="6"/>
  <c r="G64" i="6"/>
  <c r="E64" i="6"/>
  <c r="D64" i="6"/>
  <c r="G63" i="6"/>
  <c r="E63" i="6"/>
  <c r="D63" i="6"/>
  <c r="G62" i="6"/>
  <c r="E62" i="6"/>
  <c r="D62" i="6"/>
  <c r="G61" i="6"/>
  <c r="E61" i="6"/>
  <c r="D61" i="6"/>
  <c r="G60" i="6"/>
  <c r="E60" i="6"/>
  <c r="D60" i="6"/>
  <c r="G59" i="6"/>
  <c r="E59" i="6"/>
  <c r="D59" i="6"/>
  <c r="G58" i="6"/>
  <c r="E58" i="6"/>
  <c r="D58" i="6"/>
  <c r="G57" i="6"/>
  <c r="E57" i="6"/>
  <c r="D57" i="6"/>
  <c r="G56" i="6"/>
  <c r="E56" i="6"/>
  <c r="D56" i="6"/>
  <c r="G55" i="6"/>
  <c r="E55" i="6"/>
  <c r="D55" i="6"/>
  <c r="G54" i="6"/>
  <c r="E54" i="6"/>
  <c r="D54" i="6"/>
  <c r="G53" i="6"/>
  <c r="E53" i="6"/>
  <c r="D53" i="6"/>
  <c r="G52" i="6"/>
  <c r="E52" i="6"/>
  <c r="D52" i="6"/>
  <c r="G51" i="6"/>
  <c r="E51" i="6"/>
  <c r="D51" i="6"/>
  <c r="G50" i="6"/>
  <c r="E50" i="6"/>
  <c r="D50" i="6"/>
  <c r="G49" i="6"/>
  <c r="E49" i="6"/>
  <c r="D49" i="6"/>
  <c r="G48" i="6"/>
  <c r="E48" i="6"/>
  <c r="D48" i="6"/>
  <c r="G47" i="6"/>
  <c r="E47" i="6"/>
  <c r="D47" i="6"/>
  <c r="G46" i="6"/>
  <c r="E46" i="6"/>
  <c r="D46" i="6"/>
  <c r="G45" i="6"/>
  <c r="E45" i="6"/>
  <c r="D45" i="6"/>
  <c r="G44" i="6"/>
  <c r="E44" i="6"/>
  <c r="D44" i="6"/>
  <c r="G43" i="6"/>
  <c r="E43" i="6"/>
  <c r="D43" i="6"/>
  <c r="G42" i="6"/>
  <c r="E42" i="6"/>
  <c r="D42" i="6"/>
  <c r="G41" i="6"/>
  <c r="E41" i="6"/>
  <c r="D41" i="6"/>
  <c r="G40" i="6"/>
  <c r="C40" i="6"/>
  <c r="B40" i="6"/>
  <c r="G39" i="6"/>
  <c r="E39" i="6"/>
  <c r="D39" i="6"/>
  <c r="G38" i="6"/>
  <c r="E38" i="6"/>
  <c r="D38" i="6"/>
  <c r="G37" i="6"/>
  <c r="E37" i="6"/>
  <c r="D37" i="6"/>
  <c r="G36" i="6"/>
  <c r="E36" i="6"/>
  <c r="D36" i="6"/>
  <c r="G35" i="6"/>
  <c r="E35" i="6"/>
  <c r="D35" i="6"/>
  <c r="G34" i="6"/>
  <c r="E34" i="6"/>
  <c r="D34" i="6"/>
  <c r="G33" i="6"/>
  <c r="E33" i="6"/>
  <c r="D33" i="6"/>
  <c r="G32" i="6"/>
  <c r="E32" i="6"/>
  <c r="D32" i="6"/>
  <c r="G31" i="6"/>
  <c r="E31" i="6"/>
  <c r="D31" i="6"/>
  <c r="G30" i="6"/>
  <c r="E30" i="6"/>
  <c r="D30" i="6"/>
  <c r="G29" i="6"/>
  <c r="E29" i="6"/>
  <c r="D29" i="6"/>
  <c r="G28" i="6"/>
  <c r="E28" i="6"/>
  <c r="D28" i="6"/>
  <c r="G27" i="6"/>
  <c r="E27" i="6"/>
  <c r="D27" i="6"/>
  <c r="G26" i="6"/>
  <c r="E26" i="6"/>
  <c r="D26" i="6"/>
  <c r="G25" i="6"/>
  <c r="E25" i="6"/>
  <c r="D25" i="6"/>
  <c r="G24" i="6"/>
  <c r="E24" i="6"/>
  <c r="D24" i="6"/>
  <c r="G23" i="6"/>
  <c r="E23" i="6"/>
  <c r="D23" i="6"/>
  <c r="G22" i="6"/>
  <c r="E22" i="6"/>
  <c r="D22" i="6"/>
  <c r="G21" i="6"/>
  <c r="E21" i="6"/>
  <c r="D21" i="6"/>
  <c r="G20" i="6"/>
  <c r="E20" i="6"/>
  <c r="D20" i="6"/>
  <c r="G19" i="6"/>
  <c r="E19" i="6"/>
  <c r="D19" i="6"/>
  <c r="G18" i="6"/>
  <c r="E18" i="6"/>
  <c r="D18" i="6"/>
  <c r="G17" i="6"/>
  <c r="E17" i="6"/>
  <c r="D17" i="6"/>
  <c r="G16" i="6"/>
  <c r="E16" i="6"/>
  <c r="D16" i="6"/>
  <c r="G15" i="6"/>
  <c r="E15" i="6"/>
  <c r="D15" i="6"/>
  <c r="G14" i="6"/>
  <c r="E14" i="6"/>
  <c r="D14" i="6"/>
  <c r="G13" i="6"/>
  <c r="E13" i="6"/>
  <c r="D13" i="6"/>
  <c r="G12" i="6"/>
  <c r="E12" i="6"/>
  <c r="D12" i="6"/>
  <c r="G11" i="6"/>
  <c r="E11" i="6"/>
  <c r="D11" i="6"/>
  <c r="G10" i="6"/>
  <c r="E10" i="6"/>
  <c r="D10" i="6"/>
  <c r="G9" i="6"/>
  <c r="E9" i="6"/>
  <c r="D9" i="6"/>
  <c r="G8" i="6"/>
  <c r="E8" i="6"/>
  <c r="D8" i="6"/>
  <c r="G7" i="6"/>
  <c r="E7" i="6"/>
  <c r="D7" i="6"/>
  <c r="G6" i="6"/>
  <c r="E6" i="6"/>
  <c r="D6" i="6"/>
  <c r="G5" i="6"/>
  <c r="E5" i="6"/>
  <c r="D5" i="6"/>
  <c r="G4" i="6"/>
  <c r="E4" i="6"/>
  <c r="D4" i="6"/>
  <c r="G3" i="6"/>
  <c r="E3" i="6"/>
  <c r="D3" i="6"/>
  <c r="J2" i="6"/>
  <c r="G2" i="6"/>
  <c r="E2" i="6"/>
  <c r="D2" i="6"/>
  <c r="I115" i="4"/>
  <c r="B117" i="4"/>
  <c r="B116" i="4"/>
  <c r="H115" i="4"/>
  <c r="A115" i="4"/>
  <c r="F115" i="4"/>
  <c r="J113" i="4"/>
  <c r="G113" i="4"/>
  <c r="E113" i="4"/>
  <c r="D113" i="4"/>
  <c r="J112" i="4"/>
  <c r="G112" i="4"/>
  <c r="E112" i="4"/>
  <c r="D112" i="4"/>
  <c r="J111" i="4"/>
  <c r="G111" i="4"/>
  <c r="E111" i="4"/>
  <c r="D111" i="4"/>
  <c r="J110" i="4"/>
  <c r="G110" i="4"/>
  <c r="E110" i="4"/>
  <c r="D110" i="4"/>
  <c r="J109" i="4"/>
  <c r="G109" i="4"/>
  <c r="E109" i="4"/>
  <c r="D109" i="4"/>
  <c r="J108" i="4"/>
  <c r="G108" i="4"/>
  <c r="E108" i="4"/>
  <c r="D108" i="4"/>
  <c r="J107" i="4"/>
  <c r="G107" i="4"/>
  <c r="E107" i="4"/>
  <c r="D107" i="4"/>
  <c r="J106" i="4"/>
  <c r="G106" i="4"/>
  <c r="E106" i="4"/>
  <c r="D106" i="4"/>
  <c r="J105" i="4"/>
  <c r="G105" i="4"/>
  <c r="E105" i="4"/>
  <c r="D105" i="4"/>
  <c r="J104" i="4"/>
  <c r="G104" i="4"/>
  <c r="E104" i="4"/>
  <c r="D104" i="4"/>
  <c r="J103" i="4"/>
  <c r="G103" i="4"/>
  <c r="E103" i="4"/>
  <c r="D103" i="4"/>
  <c r="J102" i="4"/>
  <c r="G102" i="4"/>
  <c r="E102" i="4"/>
  <c r="D102" i="4"/>
  <c r="J101" i="4"/>
  <c r="G101" i="4"/>
  <c r="E101" i="4"/>
  <c r="D101" i="4"/>
  <c r="J100" i="4"/>
  <c r="G100" i="4"/>
  <c r="E100" i="4"/>
  <c r="D100" i="4"/>
  <c r="J99" i="4"/>
  <c r="G99" i="4"/>
  <c r="E99" i="4"/>
  <c r="D99" i="4"/>
  <c r="J98" i="4"/>
  <c r="G98" i="4"/>
  <c r="E98" i="4"/>
  <c r="D98" i="4"/>
  <c r="J97" i="4"/>
  <c r="G97" i="4"/>
  <c r="E97" i="4"/>
  <c r="D97" i="4"/>
  <c r="J96" i="4"/>
  <c r="G96" i="4"/>
  <c r="E96" i="4"/>
  <c r="D96" i="4"/>
  <c r="J95" i="4"/>
  <c r="G95" i="4"/>
  <c r="E95" i="4"/>
  <c r="D95" i="4"/>
  <c r="J94" i="4"/>
  <c r="G94" i="4"/>
  <c r="E94" i="4"/>
  <c r="D94" i="4"/>
  <c r="J93" i="4"/>
  <c r="G93" i="4"/>
  <c r="E93" i="4"/>
  <c r="D93" i="4"/>
  <c r="J92" i="4"/>
  <c r="G92" i="4"/>
  <c r="E92" i="4"/>
  <c r="D92" i="4"/>
  <c r="J91" i="4"/>
  <c r="G91" i="4"/>
  <c r="E91" i="4"/>
  <c r="D91" i="4"/>
  <c r="J90" i="4"/>
  <c r="G90" i="4"/>
  <c r="E90" i="4"/>
  <c r="D90" i="4"/>
  <c r="J89" i="4"/>
  <c r="G89" i="4"/>
  <c r="E89" i="4"/>
  <c r="D89" i="4"/>
  <c r="J88" i="4"/>
  <c r="G88" i="4"/>
  <c r="E88" i="4"/>
  <c r="D88" i="4"/>
  <c r="J87" i="4"/>
  <c r="G87" i="4"/>
  <c r="E87" i="4"/>
  <c r="D87" i="4"/>
  <c r="J86" i="4"/>
  <c r="G86" i="4"/>
  <c r="E86" i="4"/>
  <c r="D86" i="4"/>
  <c r="J85" i="4"/>
  <c r="G85" i="4"/>
  <c r="E85" i="4"/>
  <c r="D85" i="4"/>
  <c r="J84" i="4"/>
  <c r="G84" i="4"/>
  <c r="E84" i="4"/>
  <c r="D84" i="4"/>
  <c r="J83" i="4"/>
  <c r="G83" i="4"/>
  <c r="E83" i="4"/>
  <c r="D83" i="4"/>
  <c r="J82" i="4"/>
  <c r="G82" i="4"/>
  <c r="E82" i="4"/>
  <c r="D82" i="4"/>
  <c r="J81" i="4"/>
  <c r="G81" i="4"/>
  <c r="E81" i="4"/>
  <c r="D81" i="4"/>
  <c r="J80" i="4"/>
  <c r="G80" i="4"/>
  <c r="E80" i="4"/>
  <c r="D80" i="4"/>
  <c r="J79" i="4"/>
  <c r="G79" i="4"/>
  <c r="E79" i="4"/>
  <c r="D79" i="4"/>
  <c r="J78" i="4"/>
  <c r="G78" i="4"/>
  <c r="E78" i="4"/>
  <c r="D78" i="4"/>
  <c r="J77" i="4"/>
  <c r="G77" i="4"/>
  <c r="E77" i="4"/>
  <c r="D77" i="4"/>
  <c r="J76" i="4"/>
  <c r="G76" i="4"/>
  <c r="E76" i="4"/>
  <c r="D76" i="4"/>
  <c r="J75" i="4"/>
  <c r="G75" i="4"/>
  <c r="E75" i="4"/>
  <c r="D75" i="4"/>
  <c r="J74" i="4"/>
  <c r="G74" i="4"/>
  <c r="E74" i="4"/>
  <c r="D74" i="4"/>
  <c r="J73" i="4"/>
  <c r="G73" i="4"/>
  <c r="E73" i="4"/>
  <c r="D73" i="4"/>
  <c r="J72" i="4"/>
  <c r="G72" i="4"/>
  <c r="E72" i="4"/>
  <c r="D72" i="4"/>
  <c r="J71" i="4"/>
  <c r="G71" i="4"/>
  <c r="E71" i="4"/>
  <c r="D71" i="4"/>
  <c r="J70" i="4"/>
  <c r="G70" i="4"/>
  <c r="E70" i="4"/>
  <c r="D70" i="4"/>
  <c r="J69" i="4"/>
  <c r="G69" i="4"/>
  <c r="E69" i="4"/>
  <c r="D69" i="4"/>
  <c r="J68" i="4"/>
  <c r="G68" i="4"/>
  <c r="E68" i="4"/>
  <c r="D68" i="4"/>
  <c r="J67" i="4"/>
  <c r="G67" i="4"/>
  <c r="E67" i="4"/>
  <c r="D67" i="4"/>
  <c r="J66" i="4"/>
  <c r="G66" i="4"/>
  <c r="E66" i="4"/>
  <c r="D66" i="4"/>
  <c r="J65" i="4"/>
  <c r="G65" i="4"/>
  <c r="E65" i="4"/>
  <c r="D65" i="4"/>
  <c r="J64" i="4"/>
  <c r="G64" i="4"/>
  <c r="E64" i="4"/>
  <c r="D64" i="4"/>
  <c r="J63" i="4"/>
  <c r="G63" i="4"/>
  <c r="E63" i="4"/>
  <c r="D63" i="4"/>
  <c r="J62" i="4"/>
  <c r="G62" i="4"/>
  <c r="E62" i="4"/>
  <c r="D62" i="4"/>
  <c r="J61" i="4"/>
  <c r="G61" i="4"/>
  <c r="E61" i="4"/>
  <c r="D61" i="4"/>
  <c r="J60" i="4"/>
  <c r="G60" i="4"/>
  <c r="E60" i="4"/>
  <c r="D60" i="4"/>
  <c r="J59" i="4"/>
  <c r="G59" i="4"/>
  <c r="E59" i="4"/>
  <c r="D59" i="4"/>
  <c r="J58" i="4"/>
  <c r="G58" i="4"/>
  <c r="E58" i="4"/>
  <c r="D58" i="4"/>
  <c r="J57" i="4"/>
  <c r="G57" i="4"/>
  <c r="E57" i="4"/>
  <c r="D57" i="4"/>
  <c r="J56" i="4"/>
  <c r="G56" i="4"/>
  <c r="E56" i="4"/>
  <c r="D56" i="4"/>
  <c r="J55" i="4"/>
  <c r="G55" i="4"/>
  <c r="E55" i="4"/>
  <c r="D55" i="4"/>
  <c r="J54" i="4"/>
  <c r="G54" i="4"/>
  <c r="E54" i="4"/>
  <c r="D54" i="4"/>
  <c r="J53" i="4"/>
  <c r="G53" i="4"/>
  <c r="E53" i="4"/>
  <c r="D53" i="4"/>
  <c r="J52" i="4"/>
  <c r="G52" i="4"/>
  <c r="E52" i="4"/>
  <c r="D52" i="4"/>
  <c r="J51" i="4"/>
  <c r="G51" i="4"/>
  <c r="E51" i="4"/>
  <c r="D51" i="4"/>
  <c r="J50" i="4"/>
  <c r="G50" i="4"/>
  <c r="E50" i="4"/>
  <c r="D50" i="4"/>
  <c r="J49" i="4"/>
  <c r="G49" i="4"/>
  <c r="E49" i="4"/>
  <c r="D49" i="4"/>
  <c r="J48" i="4"/>
  <c r="G48" i="4"/>
  <c r="E48" i="4"/>
  <c r="D48" i="4"/>
  <c r="J47" i="4"/>
  <c r="G47" i="4"/>
  <c r="E47" i="4"/>
  <c r="D47" i="4"/>
  <c r="J46" i="4"/>
  <c r="G46" i="4"/>
  <c r="E46" i="4"/>
  <c r="D46" i="4"/>
  <c r="J45" i="4"/>
  <c r="G45" i="4"/>
  <c r="E45" i="4"/>
  <c r="D45" i="4"/>
  <c r="J44" i="4"/>
  <c r="G44" i="4"/>
  <c r="E44" i="4"/>
  <c r="D44" i="4"/>
  <c r="J43" i="4"/>
  <c r="G43" i="4"/>
  <c r="E43" i="4"/>
  <c r="D43" i="4"/>
  <c r="J42" i="4"/>
  <c r="G42" i="4"/>
  <c r="E42" i="4"/>
  <c r="D42" i="4"/>
  <c r="J41" i="4"/>
  <c r="G41" i="4"/>
  <c r="E41" i="4"/>
  <c r="D41" i="4"/>
  <c r="J40" i="4"/>
  <c r="G40" i="4"/>
  <c r="C40" i="4"/>
  <c r="B40" i="4"/>
  <c r="J39" i="4"/>
  <c r="G39" i="4"/>
  <c r="E39" i="4"/>
  <c r="D39" i="4"/>
  <c r="J38" i="4"/>
  <c r="G38" i="4"/>
  <c r="E38" i="4"/>
  <c r="D38" i="4"/>
  <c r="J37" i="4"/>
  <c r="G37" i="4"/>
  <c r="E37" i="4"/>
  <c r="D37" i="4"/>
  <c r="J36" i="4"/>
  <c r="G36" i="4"/>
  <c r="E36" i="4"/>
  <c r="D36" i="4"/>
  <c r="J35" i="4"/>
  <c r="G35" i="4"/>
  <c r="E35" i="4"/>
  <c r="D35" i="4"/>
  <c r="J34" i="4"/>
  <c r="G34" i="4"/>
  <c r="E34" i="4"/>
  <c r="D34" i="4"/>
  <c r="J33" i="4"/>
  <c r="G33" i="4"/>
  <c r="E33" i="4"/>
  <c r="D33" i="4"/>
  <c r="J32" i="4"/>
  <c r="G32" i="4"/>
  <c r="E32" i="4"/>
  <c r="D32" i="4"/>
  <c r="J31" i="4"/>
  <c r="G31" i="4"/>
  <c r="E31" i="4"/>
  <c r="D31" i="4"/>
  <c r="J30" i="4"/>
  <c r="G30" i="4"/>
  <c r="E30" i="4"/>
  <c r="D30" i="4"/>
  <c r="J29" i="4"/>
  <c r="G29" i="4"/>
  <c r="E29" i="4"/>
  <c r="D29" i="4"/>
  <c r="J28" i="4"/>
  <c r="G28" i="4"/>
  <c r="E28" i="4"/>
  <c r="D28" i="4"/>
  <c r="J27" i="4"/>
  <c r="G27" i="4"/>
  <c r="E27" i="4"/>
  <c r="D27" i="4"/>
  <c r="J26" i="4"/>
  <c r="G26" i="4"/>
  <c r="E26" i="4"/>
  <c r="D26" i="4"/>
  <c r="J25" i="4"/>
  <c r="G25" i="4"/>
  <c r="E25" i="4"/>
  <c r="D25" i="4"/>
  <c r="J24" i="4"/>
  <c r="G24" i="4"/>
  <c r="E24" i="4"/>
  <c r="D24" i="4"/>
  <c r="J23" i="4"/>
  <c r="G23" i="4"/>
  <c r="E23" i="4"/>
  <c r="D23" i="4"/>
  <c r="J22" i="4"/>
  <c r="G22" i="4"/>
  <c r="E22" i="4"/>
  <c r="D22" i="4"/>
  <c r="J21" i="4"/>
  <c r="G21" i="4"/>
  <c r="E21" i="4"/>
  <c r="D21" i="4"/>
  <c r="J20" i="4"/>
  <c r="G20" i="4"/>
  <c r="E20" i="4"/>
  <c r="D20" i="4"/>
  <c r="J19" i="4"/>
  <c r="G19" i="4"/>
  <c r="E19" i="4"/>
  <c r="D19" i="4"/>
  <c r="J18" i="4"/>
  <c r="G18" i="4"/>
  <c r="E18" i="4"/>
  <c r="D18" i="4"/>
  <c r="J17" i="4"/>
  <c r="G17" i="4"/>
  <c r="E17" i="4"/>
  <c r="D17" i="4"/>
  <c r="J16" i="4"/>
  <c r="G16" i="4"/>
  <c r="E16" i="4"/>
  <c r="D16" i="4"/>
  <c r="J15" i="4"/>
  <c r="G15" i="4"/>
  <c r="E15" i="4"/>
  <c r="D15" i="4"/>
  <c r="J14" i="4"/>
  <c r="G14" i="4"/>
  <c r="E14" i="4"/>
  <c r="D14" i="4"/>
  <c r="J13" i="4"/>
  <c r="G13" i="4"/>
  <c r="E13" i="4"/>
  <c r="D13" i="4"/>
  <c r="J12" i="4"/>
  <c r="G12" i="4"/>
  <c r="E12" i="4"/>
  <c r="D12" i="4"/>
  <c r="J11" i="4"/>
  <c r="G11" i="4"/>
  <c r="E11" i="4"/>
  <c r="D11" i="4"/>
  <c r="J10" i="4"/>
  <c r="G10" i="4"/>
  <c r="E10" i="4"/>
  <c r="D10" i="4"/>
  <c r="J9" i="4"/>
  <c r="G9" i="4"/>
  <c r="E9" i="4"/>
  <c r="D9" i="4"/>
  <c r="J8" i="4"/>
  <c r="G8" i="4"/>
  <c r="E8" i="4"/>
  <c r="D8" i="4"/>
  <c r="J7" i="4"/>
  <c r="G7" i="4"/>
  <c r="E7" i="4"/>
  <c r="D7" i="4"/>
  <c r="J6" i="4"/>
  <c r="G6" i="4"/>
  <c r="E6" i="4"/>
  <c r="D6" i="4"/>
  <c r="J5" i="4"/>
  <c r="G5" i="4"/>
  <c r="E5" i="4"/>
  <c r="D5" i="4"/>
  <c r="J4" i="4"/>
  <c r="G4" i="4"/>
  <c r="E4" i="4"/>
  <c r="D4" i="4"/>
  <c r="J3" i="4"/>
  <c r="G3" i="4"/>
  <c r="E3" i="4"/>
  <c r="D3" i="4"/>
  <c r="J2" i="4"/>
  <c r="G2" i="4"/>
  <c r="E2" i="4"/>
  <c r="D2" i="4"/>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2" i="3"/>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2" i="3"/>
  <c r="C40" i="3"/>
  <c r="E40" i="3" s="1"/>
  <c r="B40" i="3"/>
  <c r="D40" i="3" s="1"/>
  <c r="C40" i="2"/>
  <c r="B40" i="2"/>
  <c r="E40" i="4" l="1"/>
  <c r="C115" i="4"/>
  <c r="B115" i="4"/>
  <c r="C115" i="14"/>
  <c r="E40" i="14"/>
  <c r="B117" i="14"/>
  <c r="B115" i="14"/>
  <c r="B123" i="14"/>
  <c r="B116" i="14"/>
  <c r="D40" i="14"/>
  <c r="E40" i="6"/>
  <c r="C115" i="6"/>
  <c r="D40" i="6"/>
  <c r="B117" i="6"/>
  <c r="B116" i="6"/>
  <c r="B115" i="6"/>
  <c r="B123" i="6" s="1"/>
  <c r="D40" i="4"/>
</calcChain>
</file>

<file path=xl/sharedStrings.xml><?xml version="1.0" encoding="utf-8"?>
<sst xmlns="http://schemas.openxmlformats.org/spreadsheetml/2006/main" count="2560" uniqueCount="173">
  <si>
    <t>Product</t>
  </si>
  <si>
    <t>Current price</t>
  </si>
  <si>
    <t>Old price</t>
  </si>
  <si>
    <t>Discount</t>
  </si>
  <si>
    <t>Review</t>
  </si>
  <si>
    <t>Rating</t>
  </si>
  <si>
    <t>115  Piece Set Of Multifunctional Precision Screwdrivers</t>
  </si>
  <si>
    <t>4.5 out of 5</t>
  </si>
  <si>
    <t>Metal Decorative Hooks Key Hangers Entryway Wall Hooks Towel Hooks - Home</t>
  </si>
  <si>
    <t>4.1 out of 5</t>
  </si>
  <si>
    <t>Portable Mini Cordless Car Vacuum Cleaner - Blue</t>
  </si>
  <si>
    <t>4.6 out of 5</t>
  </si>
  <si>
    <t>Weighing Scale Digital Bathroom Body Fat Scale USB-Black</t>
  </si>
  <si>
    <t>4.7 out of 5</t>
  </si>
  <si>
    <t>Portable Home Small Air Humidifier 3-Speed Fan - Green</t>
  </si>
  <si>
    <t>4.8 out of 5</t>
  </si>
  <si>
    <t>220V 60W Electric Soldering Iron Kits With Tools, Tips, And Multimeter</t>
  </si>
  <si>
    <t>4 out of 5</t>
  </si>
  <si>
    <t>137 Pieces Cake Decorating Tool Set Baking Supplies</t>
  </si>
  <si>
    <t>Desk Foldable Fan Adjustable Fan Strong Wind 3 Gear Usb</t>
  </si>
  <si>
    <t>LASA FOLDING TABLE SERVING STAND</t>
  </si>
  <si>
    <t>13 In 1 Home Repair Tools Box Kit Set</t>
  </si>
  <si>
    <t>3.8 out of 5</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</si>
  <si>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</si>
  <si>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</si>
  <si>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</si>
  <si>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</si>
  <si>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</si>
  <si>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4.2 out of 5</t>
  </si>
  <si>
    <t>Anti-Skid Absorbent Insulation Coaster  For Home Office</t>
  </si>
  <si>
    <t>5 out of 5</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</si>
  <si>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</si>
  <si>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</si>
  <si>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</si>
  <si>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</si>
  <si>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</si>
  <si>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3.3 out of 5</t>
  </si>
  <si>
    <t>4pcs Bathroom/Kitchen Towel Rack,Roll Paper Holder,Towel Bars,Hook</t>
  </si>
  <si>
    <t>Unknown</t>
  </si>
  <si>
    <t>LED Romantic Spaceship Starry Sky Projector,Children's Bedroom Night Light-Blue</t>
  </si>
  <si>
    <t>Foldable Overbed Table/Desk</t>
  </si>
  <si>
    <t>4.4 out of 5</t>
  </si>
  <si>
    <t>LASA 3 Tier Bamboo Shoe Bench Storage Shelf</t>
  </si>
  <si>
    <t>4.3 out of 5</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</si>
  <si>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</si>
  <si>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</si>
  <si>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</si>
  <si>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</si>
  <si>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</si>
  <si>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</si>
  <si>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</si>
  <si>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</si>
  <si>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</si>
  <si>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</si>
  <si>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</si>
  <si>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</si>
  <si>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</si>
  <si>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</si>
  <si>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 xml:space="preserve"> 1,620 -  1,980</t>
  </si>
  <si>
    <t xml:space="preserve"> 2,200 -  3,200</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</si>
  <si>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</si>
  <si>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</si>
  <si>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</si>
  <si>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</si>
  <si>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</si>
  <si>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</si>
  <si>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</si>
  <si>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</si>
  <si>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</si>
  <si>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</si>
  <si>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</si>
  <si>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</si>
  <si>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</si>
  <si>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</si>
  <si>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</si>
  <si>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</si>
  <si>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</si>
  <si>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</si>
  <si>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</si>
  <si>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</si>
  <si>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2.5 out of 5</t>
  </si>
  <si>
    <t>Mythco 120COB Solar Wall Ligt With Motion Sensor And Remote Control 3 Modes</t>
  </si>
  <si>
    <t>3 out of 5</t>
  </si>
  <si>
    <t>5-PCS Stainless Steel Cooking Pot Set With Steamed Slices</t>
  </si>
  <si>
    <t>2.1 out of 5</t>
  </si>
  <si>
    <t>120W Cordless Vacuum Cleaners Handheld Electric Vacuum Cleaner</t>
  </si>
  <si>
    <t>2.8 out of 5</t>
  </si>
  <si>
    <t>Intelligent  LED Body Sensor Wireless Lighting Night Light USB</t>
  </si>
  <si>
    <t>2.7 out of 5</t>
  </si>
  <si>
    <t>VIC Wireless Vacuum Cleaner Dual Use For Home And Car 120W High Power Powerful</t>
  </si>
  <si>
    <t>2.9 out of 5</t>
  </si>
  <si>
    <t>Artificial Potted Flowers Room Decorative Flowers (2 Pieces)</t>
  </si>
  <si>
    <t>2.2 out of 5</t>
  </si>
  <si>
    <t>380ML USB Rechargeable Portable Small Blenders And Juicers</t>
  </si>
  <si>
    <t>2.3 out of 5</t>
  </si>
  <si>
    <t>32PCS Portable Cordless Drill Set With Cyclic Battery Drive -26 Variable Speed</t>
  </si>
  <si>
    <t>Agapeon Toothbrush Holder And Toothpaste Dispenser</t>
  </si>
  <si>
    <t>2.6 out of 5</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</si>
  <si>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</si>
  <si>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</si>
  <si>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</si>
  <si>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</si>
  <si>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</si>
  <si>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</si>
  <si>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</si>
  <si>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</si>
  <si>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</si>
  <si>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</si>
  <si>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</si>
  <si>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</si>
  <si>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</si>
  <si>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</si>
  <si>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</si>
  <si>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</si>
  <si>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</si>
  <si>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</si>
  <si>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</si>
  <si>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</si>
  <si>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</si>
  <si>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</si>
  <si>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</si>
  <si>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</si>
  <si>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</si>
  <si>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</si>
  <si>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</si>
  <si>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</si>
  <si>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</si>
  <si>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</si>
  <si>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</si>
  <si>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</si>
  <si>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</si>
  <si>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</si>
  <si>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</si>
  <si>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</si>
  <si>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</si>
  <si>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</si>
  <si>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</si>
  <si>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</si>
  <si>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2 out of 5</t>
  </si>
  <si>
    <t>Black Simple Water Cup Wine Coaster Anti Slip Absorbent</t>
  </si>
  <si>
    <t>Price Category</t>
  </si>
  <si>
    <t>Discount Category</t>
  </si>
  <si>
    <t>Discount Amount</t>
  </si>
  <si>
    <t>Rating Category</t>
  </si>
  <si>
    <t>Calculate and analyze:</t>
  </si>
  <si>
    <t>• Average current price of products.</t>
  </si>
  <si>
    <t>• Average old price of products.</t>
  </si>
  <si>
    <t>• Average discount percentage.</t>
  </si>
  <si>
    <t>• Average product rating.</t>
  </si>
  <si>
    <t>• Total number of products.</t>
  </si>
  <si>
    <t>• Total number of reviews.</t>
  </si>
  <si>
    <t>115  Piece+A2:A105 Set Of Multifunctional Precision Screwdrivers</t>
  </si>
  <si>
    <t>• Most expensive products.</t>
  </si>
  <si>
    <t>• Least expensive products.</t>
  </si>
  <si>
    <t>Row Labels</t>
  </si>
  <si>
    <t>High Discount</t>
  </si>
  <si>
    <t>Low Discount</t>
  </si>
  <si>
    <t>Medium Discount</t>
  </si>
  <si>
    <t>Grand Total</t>
  </si>
  <si>
    <t>Average of Review</t>
  </si>
  <si>
    <t>Average</t>
  </si>
  <si>
    <t>Excellent</t>
  </si>
  <si>
    <t>Poor</t>
  </si>
  <si>
    <t>Average of Rating</t>
  </si>
  <si>
    <t>High Price</t>
  </si>
  <si>
    <t>Low Price</t>
  </si>
  <si>
    <t>Medium Price</t>
  </si>
  <si>
    <t>Average of Discount</t>
  </si>
  <si>
    <t>(All)</t>
  </si>
  <si>
    <t>Average of Current price</t>
  </si>
  <si>
    <t>Column Labels</t>
  </si>
  <si>
    <t>Sum of Review</t>
  </si>
  <si>
    <t>Count of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</si>
</sst>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ES]\ #,##0.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double">
        <color indexed="64"/>
      </bottom>
      <diagonal/>
    </border>
    <border>
      <left/>
      <right/>
      <top/>
      <bottom style="double">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9" fontId="0" fillId="0" borderId="0" xfId="0" applyNumberFormat="1"/>
    <xf numFmtId="164" fontId="0" fillId="0" borderId="0" xfId="0" applyNumberFormat="1"/>
    <xf numFmtId="165" fontId="0" fillId="0" borderId="0" xfId="0" applyNumberFormat="1"/>
    <xf numFmtId="0" fontId="16" fillId="0" borderId="0" xfId="0" applyFont="1"/>
    <xf numFmtId="0" fontId="18" fillId="0" borderId="0" xfId="0" applyFont="1"/>
    <xf numFmtId="164" fontId="18" fillId="0" borderId="0" xfId="0" applyNumberFormat="1" applyFont="1"/>
    <xf numFmtId="0" fontId="16" fillId="0" borderId="10" xfId="0" applyFont="1" applyBorder="1"/>
    <xf numFmtId="165" fontId="16" fillId="0" borderId="10" xfId="0" applyNumberFormat="1" applyFont="1" applyBorder="1"/>
    <xf numFmtId="164" fontId="16" fillId="0" borderId="10" xfId="0" applyNumberFormat="1" applyFont="1" applyBorder="1"/>
    <xf numFmtId="9" fontId="16" fillId="0" borderId="10" xfId="1" applyFont="1" applyBorder="1"/>
    <xf numFmtId="165" fontId="16" fillId="0" borderId="11" xfId="0" applyNumberFormat="1" applyFont="1" applyBorder="1"/>
    <xf numFmtId="3" fontId="16" fillId="0" borderId="0" xfId="0" applyNumberFormat="1" applyFont="1"/>
    <xf numFmtId="3" fontId="16" fillId="0" borderId="0" xfId="1" applyNumberFormat="1" applyFon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alcChain" Target="calcChain.xml"/><Relationship Id="rId21" Type="http://schemas.openxmlformats.org/officeDocument/2006/relationships/worksheet" Target="worksheets/sheet21.xml"/><Relationship Id="rId34"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microsoft.com/office/2007/relationships/slicerCache" Target="slicerCaches/slicerCache4.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07/relationships/slicerCache" Target="slicerCaches/slicerCache3.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microsoft.com/office/2007/relationships/slicerCache" Target="slicerCaches/slicerCache1.xml"/><Relationship Id="rId35" Type="http://schemas.microsoft.com/office/2007/relationships/slicerCache" Target="slicerCaches/slicerCache6.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[Excel_jumia_dataset1.xlsx]Trend Analysis 1!PivotTable1</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1'!$B$3</c:f>
              <c:strCache>
                <c:ptCount val="1"/>
                <c:pt idx="0">
                  <c:v>Total</c:v>
                </c:pt>
              </c:strCache>
            </c:strRef>
          </c:tx>
          <c:spPr>
            <a:solidFill>
              <a:schemeClr val="accent1"/>
            </a:solidFill>
            <a:ln>
              <a:noFill/>
            </a:ln>
            <a:effectLst/>
          </c:spPr>
          <c:invertIfNegative val="0"/>
          <c:cat>
            <c:strRef>
              <c:f>'Trend Analysis 1'!$A$4:$A$7</c:f>
              <c:strCache>
                <c:ptCount val="3"/>
                <c:pt idx="0">
                  <c:v>High Discount</c:v>
                </c:pt>
                <c:pt idx="1">
                  <c:v>Low Discount</c:v>
                </c:pt>
                <c:pt idx="2">
                  <c:v>Medium Discount</c:v>
                </c:pt>
              </c:strCache>
            </c:strRef>
          </c:cat>
          <c:val>
            <c:numRef>
              <c:f>'Trend Analysis 1'!$B$4:$B$7</c:f>
              <c:numCache>
                <c:formatCode>General</c:formatCode>
                <c:ptCount val="3"/>
                <c:pt idx="0">
                  <c:v>11.133333333333333</c:v>
                </c:pt>
                <c:pt idx="1">
                  <c:v>9.5</c:v>
                </c:pt>
                <c:pt idx="2">
                  <c:v>15.260869565217391</c:v>
                </c:pt>
              </c:numCache>
            </c:numRef>
          </c:val>
          <c:extLst>
            <c:ext xmlns:c16="http://schemas.microsoft.com/office/drawing/2014/chart" uri="{C3380CC4-5D6E-409C-BE32-E72D297353CC}">
              <c16:uniqueId val="{00000000-8F0A-4A6D-9E46-265AFD44D708}"/>
            </c:ext>
          </c:extLst>
        </c:ser>
        <c:dLbls>
          <c:showLegendKey val="0"/>
          <c:showVal val="0"/>
          <c:showCatName val="0"/>
          <c:showSerName val="0"/>
          <c:showPercent val="0"/>
          <c:showBubbleSize val="0"/>
        </c:dLbls>
        <c:gapWidth val="219"/>
        <c:overlap val="-27"/>
        <c:axId val="1766580463"/>
        <c:axId val="812713839"/>
      </c:barChart>
      <c:catAx>
        <c:axId val="176658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3839"/>
        <c:crosses val="autoZero"/>
        <c:auto val="1"/>
        <c:lblAlgn val="ctr"/>
        <c:lblOffset val="100"/>
        <c:noMultiLvlLbl val="0"/>
      </c:catAx>
      <c:valAx>
        <c:axId val="81271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[Excel_jumia_dataset1.xlsx]Trend Analysis 2!PivotTable2</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2'!$B$3</c:f>
              <c:strCache>
                <c:ptCount val="1"/>
                <c:pt idx="0">
                  <c:v>Total</c:v>
                </c:pt>
              </c:strCache>
            </c:strRef>
          </c:tx>
          <c:spPr>
            <a:solidFill>
              <a:schemeClr val="accent1"/>
            </a:solidFill>
            <a:ln>
              <a:noFill/>
            </a:ln>
            <a:effectLst/>
          </c:spPr>
          <c:invertIfNegative val="0"/>
          <c:cat>
            <c:strRef>
              <c:f>'Trend Analysis 2'!$A$4:$A$8</c:f>
              <c:strCache>
                <c:ptCount val="4"/>
                <c:pt idx="0">
                  <c:v>Average</c:v>
                </c:pt>
                <c:pt idx="1">
                  <c:v>Excellent</c:v>
                </c:pt>
                <c:pt idx="2">
                  <c:v>Poor</c:v>
                </c:pt>
                <c:pt idx="3">
                  <c:v>Unknown</c:v>
                </c:pt>
              </c:strCache>
            </c:strRef>
          </c:cat>
          <c:val>
            <c:numRef>
              <c:f>'Trend Analysis 2'!$B$4:$B$8</c:f>
              <c:numCache>
                <c:formatCode>General</c:formatCode>
                <c:ptCount val="4"/>
                <c:pt idx="0">
                  <c:v>10.192307692307692</c:v>
                </c:pt>
                <c:pt idx="1">
                  <c:v>15.210526315789474</c:v>
                </c:pt>
                <c:pt idx="2">
                  <c:v>14.083333333333334</c:v>
                </c:pt>
                <c:pt idx="3">
                  <c:v>#N/A</c:v>
                </c:pt>
              </c:numCache>
            </c:numRef>
          </c:val>
          <c:extLst>
            <c:ext xmlns:c16="http://schemas.microsoft.com/office/drawing/2014/chart" uri="{C3380CC4-5D6E-409C-BE32-E72D297353CC}">
              <c16:uniqueId val="{00000000-FC90-44BE-B5B5-C65BED67391F}"/>
            </c:ext>
          </c:extLst>
        </c:ser>
        <c:dLbls>
          <c:showLegendKey val="0"/>
          <c:showVal val="0"/>
          <c:showCatName val="0"/>
          <c:showSerName val="0"/>
          <c:showPercent val="0"/>
          <c:showBubbleSize val="0"/>
        </c:dLbls>
        <c:gapWidth val="219"/>
        <c:overlap val="-27"/>
        <c:axId val="880097327"/>
        <c:axId val="812748879"/>
      </c:barChart>
      <c:catAx>
        <c:axId val="88009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48879"/>
        <c:crosses val="autoZero"/>
        <c:auto val="1"/>
        <c:lblAlgn val="ctr"/>
        <c:lblOffset val="100"/>
        <c:noMultiLvlLbl val="0"/>
      </c:catAx>
      <c:valAx>
        <c:axId val="81274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9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[Excel_jumia_dataset1.xlsx]Trend Analysis 3!PivotTable4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3'!$B$3</c:f>
              <c:strCache>
                <c:ptCount val="1"/>
                <c:pt idx="0">
                  <c:v>Total</c:v>
                </c:pt>
              </c:strCache>
            </c:strRef>
          </c:tx>
          <c:spPr>
            <a:solidFill>
              <a:schemeClr val="accent1"/>
            </a:solidFill>
            <a:ln>
              <a:noFill/>
            </a:ln>
            <a:effectLst/>
          </c:spPr>
          <c:invertIfNegative val="0"/>
          <c:cat>
            <c:strRef>
              <c:f>'Trend Analysis 3'!$A$4:$A$7</c:f>
              <c:strCache>
                <c:ptCount val="3"/>
                <c:pt idx="0">
                  <c:v>High Price</c:v>
                </c:pt>
                <c:pt idx="1">
                  <c:v>Low Price</c:v>
                </c:pt>
                <c:pt idx="2">
                  <c:v>Medium Price</c:v>
                </c:pt>
              </c:strCache>
            </c:strRef>
          </c:cat>
          <c:val>
            <c:numRef>
              <c:f>'Trend Analysis 3'!$B$4:$B$7</c:f>
              <c:numCache>
                <c:formatCode>General</c:formatCode>
                <c:ptCount val="3"/>
                <c:pt idx="0">
                  <c:v>4</c:v>
                </c:pt>
                <c:pt idx="1">
                  <c:v>3.8933333333333331</c:v>
                </c:pt>
                <c:pt idx="2">
                  <c:v>3.85</c:v>
                </c:pt>
              </c:numCache>
            </c:numRef>
          </c:val>
          <c:extLst>
            <c:ext xmlns:c16="http://schemas.microsoft.com/office/drawing/2014/chart" uri="{C3380CC4-5D6E-409C-BE32-E72D297353CC}">
              <c16:uniqueId val="{00000000-247A-4514-851D-E4B1FE700BA9}"/>
            </c:ext>
          </c:extLst>
        </c:ser>
        <c:dLbls>
          <c:showLegendKey val="0"/>
          <c:showVal val="0"/>
          <c:showCatName val="0"/>
          <c:showSerName val="0"/>
          <c:showPercent val="0"/>
          <c:showBubbleSize val="0"/>
        </c:dLbls>
        <c:gapWidth val="219"/>
        <c:overlap val="-27"/>
        <c:axId val="1332003231"/>
        <c:axId val="812654799"/>
      </c:barChart>
      <c:catAx>
        <c:axId val="133200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54799"/>
        <c:crosses val="autoZero"/>
        <c:auto val="1"/>
        <c:lblAlgn val="ctr"/>
        <c:lblOffset val="100"/>
        <c:noMultiLvlLbl val="0"/>
      </c:catAx>
      <c:valAx>
        <c:axId val="81265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0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[Excel_jumia_dataset1.xlsx]Price Categories!PivotTable18</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Categories'!$B$3</c:f>
              <c:strCache>
                <c:ptCount val="1"/>
                <c:pt idx="0">
                  <c:v>Total</c:v>
                </c:pt>
              </c:strCache>
            </c:strRef>
          </c:tx>
          <c:spPr>
            <a:solidFill>
              <a:schemeClr val="accent1"/>
            </a:solidFill>
            <a:ln>
              <a:noFill/>
            </a:ln>
            <a:effectLst/>
          </c:spPr>
          <c:invertIfNegative val="0"/>
          <c:cat>
            <c:strRef>
              <c:f>'Price Categories'!$A$4:$A$7</c:f>
              <c:strCache>
                <c:ptCount val="3"/>
                <c:pt idx="0">
                  <c:v>High Price</c:v>
                </c:pt>
                <c:pt idx="1">
                  <c:v>Low Price</c:v>
                </c:pt>
                <c:pt idx="2">
                  <c:v>Medium Price</c:v>
                </c:pt>
              </c:strCache>
            </c:strRef>
          </c:cat>
          <c:val>
            <c:numRef>
              <c:f>'Price Categories'!$B$4:$B$7</c:f>
              <c:numCache>
                <c:formatCode>General</c:formatCode>
                <c:ptCount val="3"/>
                <c:pt idx="0">
                  <c:v>3</c:v>
                </c:pt>
                <c:pt idx="1">
                  <c:v>95</c:v>
                </c:pt>
                <c:pt idx="2">
                  <c:v>14</c:v>
                </c:pt>
              </c:numCache>
            </c:numRef>
          </c:val>
          <c:extLst>
            <c:ext xmlns:c16="http://schemas.microsoft.com/office/drawing/2014/chart" uri="{C3380CC4-5D6E-409C-BE32-E72D297353CC}">
              <c16:uniqueId val="{00000000-B864-4A6E-B3E9-D0403770DBDC}"/>
            </c:ext>
          </c:extLst>
        </c:ser>
        <c:dLbls>
          <c:showLegendKey val="0"/>
          <c:showVal val="0"/>
          <c:showCatName val="0"/>
          <c:showSerName val="0"/>
          <c:showPercent val="0"/>
          <c:showBubbleSize val="0"/>
        </c:dLbls>
        <c:gapWidth val="219"/>
        <c:overlap val="-27"/>
        <c:axId val="1766585567"/>
        <c:axId val="812712399"/>
      </c:barChart>
      <c:catAx>
        <c:axId val="176658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2399"/>
        <c:crosses val="autoZero"/>
        <c:auto val="1"/>
        <c:lblAlgn val="ctr"/>
        <c:lblOffset val="100"/>
        <c:noMultiLvlLbl val="0"/>
      </c:catAx>
      <c:valAx>
        <c:axId val="81271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8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[Excel_jumia_dataset1.xlsx]Rating Categories!PivotTable16</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'Rating Categories'!$B$3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BDB-4441-BDFA-F6487F0D494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BDB-4441-BDFA-F6487F0D494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BDB-4441-BDFA-F6487F0D494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BDB-4441-BDFA-F6487F0D49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'Rating Categories'!$A$4:$A$8</c:f>
              <c:strCache>
                <c:ptCount val="4"/>
                <c:pt idx="0">
                  <c:v>Average</c:v>
                </c:pt>
                <c:pt idx="1">
                  <c:v>Excellent</c:v>
                </c:pt>
                <c:pt idx="2">
                  <c:v>Poor</c:v>
                </c:pt>
                <c:pt idx="3">
                  <c:v>Unknown</c:v>
                </c:pt>
              </c:strCache>
            </c:strRef>
          </c:cat>
          <c:val>
            <c:numRef>
              <c:f>'Rating Categories'!$B$4:$B$8</c:f>
              <c:numCache>
                <c:formatCode>General</c:formatCode>
                <c:ptCount val="4"/>
                <c:pt idx="0">
                  <c:v>26</c:v>
                </c:pt>
                <c:pt idx="1">
                  <c:v>19</c:v>
                </c:pt>
                <c:pt idx="2">
                  <c:v>12</c:v>
                </c:pt>
                <c:pt idx="3">
                  <c:v>55</c:v>
                </c:pt>
              </c:numCache>
            </c:numRef>
          </c:val>
          <c:extLst>
            <c:ext xmlns:c16="http://schemas.microsoft.com/office/drawing/2014/chart" uri="{C3380CC4-5D6E-409C-BE32-E72D297353CC}">
              <c16:uniqueId val="{00000000-66BB-424F-8E71-FE68CC49BC5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[Excel_jumia_dataset1.xlsx]Discount Categories!PivotTable17</c:name>
    <c:fmtId val="1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'Discount Categories'!$B$3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D36-4DEF-8022-9012DA80BC1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D36-4DEF-8022-9012DA80BC1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D36-4DEF-8022-9012DA80BC1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'Discount Categories'!$A$4:$A$7</c:f>
              <c:strCache>
                <c:ptCount val="3"/>
                <c:pt idx="0">
                  <c:v>High Discount</c:v>
                </c:pt>
                <c:pt idx="1">
                  <c:v>Low Discount</c:v>
                </c:pt>
                <c:pt idx="2">
                  <c:v>Medium Discount</c:v>
                </c:pt>
              </c:strCache>
            </c:strRef>
          </c:cat>
          <c:val>
            <c:numRef>
              <c:f>'Discount Categories'!$B$4:$B$7</c:f>
              <c:numCache>
                <c:formatCode>General</c:formatCode>
                <c:ptCount val="3"/>
                <c:pt idx="0">
                  <c:v>62</c:v>
                </c:pt>
                <c:pt idx="1">
                  <c:v>18</c:v>
                </c:pt>
                <c:pt idx="2">
                  <c:v>32</c:v>
                </c:pt>
              </c:numCache>
            </c:numRef>
          </c:val>
          <c:extLst>
            <c:ext xmlns:c16="http://schemas.microsoft.com/office/drawing/2014/chart" uri="{C3380CC4-5D6E-409C-BE32-E72D297353CC}">
              <c16:uniqueId val="{00000000-2B45-41C2-8762-A4D1F13D1BDE}"/>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[Excel_jumia_dataset1.xlsx]Product Performance Analysis 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Performance Analysis 1'!$B$3</c:f>
              <c:strCache>
                <c:ptCount val="1"/>
                <c:pt idx="0">
                  <c:v>Total</c:v>
                </c:pt>
              </c:strCache>
            </c:strRef>
          </c:tx>
          <c:spPr>
            <a:solidFill>
              <a:schemeClr val="accent1"/>
            </a:solidFill>
            <a:ln>
              <a:noFill/>
            </a:ln>
            <a:effectLst/>
          </c:spPr>
          <c:invertIfNegative val="0"/>
          <c:cat>
            <c:strRef>
              <c:f>'Product Performance Analysis 1'!$A$4:$A$15</c:f>
              <c:strCache>
                <c:ptCount val="11"/>
                <c:pt idx="0">
                  <c:v>6 In 1 Bottle Can Opener Multifunctional Easy Opener</c:v>
                </c:pt>
                <c:pt idx="1">
                  <c:v>Creative Owl Shape Keychain Black</c:v>
                </c:pt>
                <c:pt idx="2">
                  <c:v>5-PCS Stainless Steel Cooking Pot Set With Steamed Slices</c:v>
                </c:pt>
                <c:pt idx="3">
                  <c:v>LASA FOLDING TABLE SERVING STAND</c:v>
                </c:pt>
                <c:pt idx="4">
                  <c:v>Simple Metal Dog Art Sculpture Decoration For Home Office</c:v>
                </c:pt>
                <c:pt idx="5">
                  <c:v>Mythco 120COB Solar Wall Ligt With Motion Sensor And Remote Control 3 Modes</c:v>
                </c:pt>
                <c:pt idx="6">
                  <c:v>LASA 3 Tier Bamboo Shoe Bench Storage Shelf</c:v>
                </c:pt>
                <c:pt idx="7">
                  <c:v>Classic Black Cat Cotton Hemp Pillow Case For Home Car</c:v>
                </c:pt>
                <c:pt idx="8">
                  <c:v>3PCS Single Head Knitting Crochet Sweater Needle Set</c:v>
                </c:pt>
                <c:pt idx="9">
                  <c:v>Intelligent  LED Body Sensor Wireless Lighting Night Light USB</c:v>
                </c:pt>
                <c:pt idx="10">
                  <c:v>Exfoliate And Exfoliate Face Towel - Black</c:v>
                </c:pt>
              </c:strCache>
            </c:strRef>
          </c:cat>
          <c:val>
            <c:numRef>
              <c:f>'Product Performance Analysis 1'!$B$4:$B$15</c:f>
              <c:numCache>
                <c:formatCode>0%</c:formatCode>
                <c:ptCount val="11"/>
                <c:pt idx="0">
                  <c:v>0.64</c:v>
                </c:pt>
                <c:pt idx="1">
                  <c:v>0.61</c:v>
                </c:pt>
                <c:pt idx="2">
                  <c:v>0.55000000000000004</c:v>
                </c:pt>
                <c:pt idx="3">
                  <c:v>0.55000000000000004</c:v>
                </c:pt>
                <c:pt idx="4">
                  <c:v>0.55000000000000004</c:v>
                </c:pt>
                <c:pt idx="5">
                  <c:v>0.54</c:v>
                </c:pt>
                <c:pt idx="6">
                  <c:v>0.54</c:v>
                </c:pt>
                <c:pt idx="7">
                  <c:v>0.53</c:v>
                </c:pt>
                <c:pt idx="8">
                  <c:v>0.53</c:v>
                </c:pt>
                <c:pt idx="9">
                  <c:v>0.52</c:v>
                </c:pt>
                <c:pt idx="10">
                  <c:v>0.52</c:v>
                </c:pt>
              </c:numCache>
            </c:numRef>
          </c:val>
          <c:extLst>
            <c:ext xmlns:c16="http://schemas.microsoft.com/office/drawing/2014/chart" uri="{C3380CC4-5D6E-409C-BE32-E72D297353CC}">
              <c16:uniqueId val="{00000000-E3C5-4443-80EE-77C4C260549E}"/>
            </c:ext>
          </c:extLst>
        </c:ser>
        <c:dLbls>
          <c:showLegendKey val="0"/>
          <c:showVal val="0"/>
          <c:showCatName val="0"/>
          <c:showSerName val="0"/>
          <c:showPercent val="0"/>
          <c:showBubbleSize val="0"/>
        </c:dLbls>
        <c:gapWidth val="150"/>
        <c:overlap val="100"/>
        <c:axId val="1845028991"/>
        <c:axId val="812715759"/>
      </c:barChart>
      <c:catAx>
        <c:axId val="1845028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5759"/>
        <c:crosses val="autoZero"/>
        <c:auto val="1"/>
        <c:lblAlgn val="ctr"/>
        <c:lblOffset val="100"/>
        <c:noMultiLvlLbl val="0"/>
      </c:catAx>
      <c:valAx>
        <c:axId val="8127157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02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[Excel_jumia_dataset1.xlsx]Product Performance Analysis 2!PivotTable7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 Analysis 2'!$B$3</c:f>
              <c:strCache>
                <c:ptCount val="1"/>
                <c:pt idx="0">
                  <c:v>Total</c:v>
                </c:pt>
              </c:strCache>
            </c:strRef>
          </c:tx>
          <c:spPr>
            <a:solidFill>
              <a:schemeClr val="accent1"/>
            </a:solidFill>
            <a:ln>
              <a:noFill/>
            </a:ln>
            <a:effectLst/>
          </c:spPr>
          <c:invertIfNegative val="0"/>
          <c:cat>
            <c:strRef>
              <c:f>'Product Performance Analysis 2'!$A$4:$A$14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'Product Performance Analysis 2'!$B$4:$B$14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B44A-4C8C-9071-ECCF2F439373}"/>
            </c:ext>
          </c:extLst>
        </c:ser>
        <c:dLbls>
          <c:showLegendKey val="0"/>
          <c:showVal val="0"/>
          <c:showCatName val="0"/>
          <c:showSerName val="0"/>
          <c:showPercent val="0"/>
          <c:showBubbleSize val="0"/>
        </c:dLbls>
        <c:gapWidth val="182"/>
        <c:axId val="808449087"/>
        <c:axId val="812664879"/>
      </c:barChart>
      <c:catAx>
        <c:axId val="80844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64879"/>
        <c:crosses val="autoZero"/>
        <c:auto val="1"/>
        <c:lblAlgn val="ctr"/>
        <c:lblOffset val="100"/>
        <c:noMultiLvlLbl val="0"/>
      </c:catAx>
      <c:valAx>
        <c:axId val="81266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44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[Excel_jumia_dataset1.xlsx]Product Performance Analysis 3!PivotTable8</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 Analysis 3'!$B$3</c:f>
              <c:strCache>
                <c:ptCount val="1"/>
                <c:pt idx="0">
                  <c:v>Total</c:v>
                </c:pt>
              </c:strCache>
            </c:strRef>
          </c:tx>
          <c:spPr>
            <a:solidFill>
              <a:schemeClr val="accent1"/>
            </a:solidFill>
            <a:ln>
              <a:noFill/>
            </a:ln>
            <a:effectLst/>
          </c:spPr>
          <c:invertIfNegative val="0"/>
          <c:cat>
            <c:strRef>
              <c:f>'Product Performance Analysis 3'!$A$4:$A$14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'Product Performance Analysis 3'!$B$4:$B$14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480A-44EC-8B63-FFC3D62CBB64}"/>
            </c:ext>
          </c:extLst>
        </c:ser>
        <c:dLbls>
          <c:showLegendKey val="0"/>
          <c:showVal val="0"/>
          <c:showCatName val="0"/>
          <c:showSerName val="0"/>
          <c:showPercent val="0"/>
          <c:showBubbleSize val="0"/>
        </c:dLbls>
        <c:gapWidth val="219"/>
        <c:overlap val="-27"/>
        <c:axId val="1332005087"/>
        <c:axId val="812745999"/>
      </c:barChart>
      <c:catAx>
        <c:axId val="133200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45999"/>
        <c:crosses val="autoZero"/>
        <c:auto val="1"/>
        <c:lblAlgn val="ctr"/>
        <c:lblOffset val="100"/>
        <c:noMultiLvlLbl val="0"/>
      </c:catAx>
      <c:valAx>
        <c:axId val="81274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0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[Excel_jumia_dataset1.xlsx]Product Performance Analysis 3!PivotTable8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2"/>
                </a:solidFill>
              </a:rPr>
              <a:t>Top 10 Products By Rating</a:t>
            </a:r>
            <a:endParaRPr lang="en-GB"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 Analysis 3'!$B$3</c:f>
              <c:strCache>
                <c:ptCount val="1"/>
                <c:pt idx="0">
                  <c:v>Total</c:v>
                </c:pt>
              </c:strCache>
            </c:strRef>
          </c:tx>
          <c:spPr>
            <a:solidFill>
              <a:schemeClr val="accent1"/>
            </a:solidFill>
            <a:ln>
              <a:noFill/>
            </a:ln>
            <a:effectLst/>
          </c:spPr>
          <c:invertIfNegative val="0"/>
          <c:cat>
            <c:strRef>
              <c:f>'Product Performance Analysis 3'!$A$4:$A$14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'Product Performance Analysis 3'!$B$4:$B$14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1E9E-40B1-9A35-E6EF1E74C5D2}"/>
            </c:ext>
          </c:extLst>
        </c:ser>
        <c:dLbls>
          <c:showLegendKey val="0"/>
          <c:showVal val="0"/>
          <c:showCatName val="0"/>
          <c:showSerName val="0"/>
          <c:showPercent val="0"/>
          <c:showBubbleSize val="0"/>
        </c:dLbls>
        <c:gapWidth val="219"/>
        <c:overlap val="-27"/>
        <c:axId val="1332005087"/>
        <c:axId val="812745999"/>
      </c:barChart>
      <c:catAx>
        <c:axId val="1332005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45999"/>
        <c:crosses val="autoZero"/>
        <c:auto val="1"/>
        <c:lblAlgn val="ctr"/>
        <c:lblOffset val="100"/>
        <c:noMultiLvlLbl val="0"/>
      </c:catAx>
      <c:valAx>
        <c:axId val="8127459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05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[Excel_jumia_dataset1.xlsx]Product Performance Analysis 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2"/>
                </a:solidFill>
              </a:rPr>
              <a:t>Top 10 Products By Number of Reviews</a:t>
            </a:r>
            <a:endParaRPr lang="en-GB"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 Analysis 2'!$B$3</c:f>
              <c:strCache>
                <c:ptCount val="1"/>
                <c:pt idx="0">
                  <c:v>Total</c:v>
                </c:pt>
              </c:strCache>
            </c:strRef>
          </c:tx>
          <c:spPr>
            <a:solidFill>
              <a:schemeClr val="accent1"/>
            </a:solidFill>
            <a:ln>
              <a:noFill/>
            </a:ln>
            <a:effectLst/>
          </c:spPr>
          <c:invertIfNegative val="0"/>
          <c:cat>
            <c:strRef>
              <c:f>'Product Performance Analysis 2'!$A$4:$A$14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'Product Performance Analysis 2'!$B$4:$B$14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8799-4C15-B459-60F68F463E18}"/>
            </c:ext>
          </c:extLst>
        </c:ser>
        <c:dLbls>
          <c:showLegendKey val="0"/>
          <c:showVal val="0"/>
          <c:showCatName val="0"/>
          <c:showSerName val="0"/>
          <c:showPercent val="0"/>
          <c:showBubbleSize val="0"/>
        </c:dLbls>
        <c:gapWidth val="182"/>
        <c:axId val="808449087"/>
        <c:axId val="812664879"/>
      </c:barChart>
      <c:catAx>
        <c:axId val="808449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64879"/>
        <c:crosses val="autoZero"/>
        <c:auto val="1"/>
        <c:lblAlgn val="ctr"/>
        <c:lblOffset val="100"/>
        <c:noMultiLvlLbl val="0"/>
      </c:catAx>
      <c:valAx>
        <c:axId val="8126648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449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[Excel_jumia_dataset1.xlsx]Product Performance Analysis 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baseline="0">
                <a:solidFill>
                  <a:schemeClr val="accent2"/>
                </a:solidFill>
              </a:rPr>
              <a:t>Top 10 Products By Discount Percentage</a:t>
            </a:r>
            <a:endParaRPr lang="en-GB"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 Performance Analysis 1'!$B$3</c:f>
              <c:strCache>
                <c:ptCount val="1"/>
                <c:pt idx="0">
                  <c:v>Total</c:v>
                </c:pt>
              </c:strCache>
            </c:strRef>
          </c:tx>
          <c:spPr>
            <a:solidFill>
              <a:schemeClr val="accent1"/>
            </a:solidFill>
            <a:ln>
              <a:noFill/>
            </a:ln>
            <a:effectLst/>
          </c:spPr>
          <c:invertIfNegative val="0"/>
          <c:cat>
            <c:strRef>
              <c:f>'Product Performance Analysis 1'!$A$4:$A$15</c:f>
              <c:strCache>
                <c:ptCount val="11"/>
                <c:pt idx="0">
                  <c:v>6 In 1 Bottle Can Opener Multifunctional Easy Opener</c:v>
                </c:pt>
                <c:pt idx="1">
                  <c:v>Creative Owl Shape Keychain Black</c:v>
                </c:pt>
                <c:pt idx="2">
                  <c:v>5-PCS Stainless Steel Cooking Pot Set With Steamed Slices</c:v>
                </c:pt>
                <c:pt idx="3">
                  <c:v>LASA FOLDING TABLE SERVING STAND</c:v>
                </c:pt>
                <c:pt idx="4">
                  <c:v>Simple Metal Dog Art Sculpture Decoration For Home Office</c:v>
                </c:pt>
                <c:pt idx="5">
                  <c:v>Mythco 120COB Solar Wall Ligt With Motion Sensor And Remote Control 3 Modes</c:v>
                </c:pt>
                <c:pt idx="6">
                  <c:v>LASA 3 Tier Bamboo Shoe Bench Storage Shelf</c:v>
                </c:pt>
                <c:pt idx="7">
                  <c:v>Classic Black Cat Cotton Hemp Pillow Case For Home Car</c:v>
                </c:pt>
                <c:pt idx="8">
                  <c:v>3PCS Single Head Knitting Crochet Sweater Needle Set</c:v>
                </c:pt>
                <c:pt idx="9">
                  <c:v>Intelligent  LED Body Sensor Wireless Lighting Night Light USB</c:v>
                </c:pt>
                <c:pt idx="10">
                  <c:v>Exfoliate And Exfoliate Face Towel - Black</c:v>
                </c:pt>
              </c:strCache>
            </c:strRef>
          </c:cat>
          <c:val>
            <c:numRef>
              <c:f>'Product Performance Analysis 1'!$B$4:$B$15</c:f>
              <c:numCache>
                <c:formatCode>0%</c:formatCode>
                <c:ptCount val="11"/>
                <c:pt idx="0">
                  <c:v>0.64</c:v>
                </c:pt>
                <c:pt idx="1">
                  <c:v>0.61</c:v>
                </c:pt>
                <c:pt idx="2">
                  <c:v>0.55000000000000004</c:v>
                </c:pt>
                <c:pt idx="3">
                  <c:v>0.55000000000000004</c:v>
                </c:pt>
                <c:pt idx="4">
                  <c:v>0.55000000000000004</c:v>
                </c:pt>
                <c:pt idx="5">
                  <c:v>0.54</c:v>
                </c:pt>
                <c:pt idx="6">
                  <c:v>0.54</c:v>
                </c:pt>
                <c:pt idx="7">
                  <c:v>0.53</c:v>
                </c:pt>
                <c:pt idx="8">
                  <c:v>0.53</c:v>
                </c:pt>
                <c:pt idx="9">
                  <c:v>0.52</c:v>
                </c:pt>
                <c:pt idx="10">
                  <c:v>0.52</c:v>
                </c:pt>
              </c:numCache>
            </c:numRef>
          </c:val>
          <c:extLst>
            <c:ext xmlns:c16="http://schemas.microsoft.com/office/drawing/2014/chart" uri="{C3380CC4-5D6E-409C-BE32-E72D297353CC}">
              <c16:uniqueId val="{00000000-8ECC-43D6-AC9C-6E52DA0FDDDD}"/>
            </c:ext>
          </c:extLst>
        </c:ser>
        <c:dLbls>
          <c:showLegendKey val="0"/>
          <c:showVal val="0"/>
          <c:showCatName val="0"/>
          <c:showSerName val="0"/>
          <c:showPercent val="0"/>
          <c:showBubbleSize val="0"/>
        </c:dLbls>
        <c:gapWidth val="150"/>
        <c:overlap val="100"/>
        <c:axId val="1845028991"/>
        <c:axId val="812715759"/>
      </c:barChart>
      <c:catAx>
        <c:axId val="1845028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5759"/>
        <c:crosses val="autoZero"/>
        <c:auto val="1"/>
        <c:lblAlgn val="ctr"/>
        <c:lblOffset val="100"/>
        <c:noMultiLvlLbl val="0"/>
      </c:catAx>
      <c:valAx>
        <c:axId val="81271575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5028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[Excel_jumia_dataset1.xlsx]Trend Analysis 1!PivotTable1</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a:solidFill>
                  <a:schemeClr val="accent2"/>
                </a:solidFill>
                <a:effectLst/>
              </a:rPr>
              <a:t>Discount vs Reviews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1'!$B$3</c:f>
              <c:strCache>
                <c:ptCount val="1"/>
                <c:pt idx="0">
                  <c:v>Total</c:v>
                </c:pt>
              </c:strCache>
            </c:strRef>
          </c:tx>
          <c:spPr>
            <a:solidFill>
              <a:schemeClr val="accent1"/>
            </a:solidFill>
            <a:ln>
              <a:noFill/>
            </a:ln>
            <a:effectLst/>
          </c:spPr>
          <c:invertIfNegative val="0"/>
          <c:cat>
            <c:strRef>
              <c:f>'Trend Analysis 1'!$A$4:$A$7</c:f>
              <c:strCache>
                <c:ptCount val="3"/>
                <c:pt idx="0">
                  <c:v>High Discount</c:v>
                </c:pt>
                <c:pt idx="1">
                  <c:v>Low Discount</c:v>
                </c:pt>
                <c:pt idx="2">
                  <c:v>Medium Discount</c:v>
                </c:pt>
              </c:strCache>
            </c:strRef>
          </c:cat>
          <c:val>
            <c:numRef>
              <c:f>'Trend Analysis 1'!$B$4:$B$7</c:f>
              <c:numCache>
                <c:formatCode>General</c:formatCode>
                <c:ptCount val="3"/>
                <c:pt idx="0">
                  <c:v>11.133333333333333</c:v>
                </c:pt>
                <c:pt idx="1">
                  <c:v>9.5</c:v>
                </c:pt>
                <c:pt idx="2">
                  <c:v>15.260869565217391</c:v>
                </c:pt>
              </c:numCache>
            </c:numRef>
          </c:val>
          <c:extLst>
            <c:ext xmlns:c16="http://schemas.microsoft.com/office/drawing/2014/chart" uri="{C3380CC4-5D6E-409C-BE32-E72D297353CC}">
              <c16:uniqueId val="{00000000-6775-4719-AFC5-8408FEDAFF89}"/>
            </c:ext>
          </c:extLst>
        </c:ser>
        <c:dLbls>
          <c:showLegendKey val="0"/>
          <c:showVal val="0"/>
          <c:showCatName val="0"/>
          <c:showSerName val="0"/>
          <c:showPercent val="0"/>
          <c:showBubbleSize val="0"/>
        </c:dLbls>
        <c:gapWidth val="219"/>
        <c:overlap val="-27"/>
        <c:axId val="1766580463"/>
        <c:axId val="812713839"/>
      </c:barChart>
      <c:catAx>
        <c:axId val="1766580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3839"/>
        <c:crosses val="autoZero"/>
        <c:auto val="1"/>
        <c:lblAlgn val="ctr"/>
        <c:lblOffset val="100"/>
        <c:noMultiLvlLbl val="0"/>
      </c:catAx>
      <c:valAx>
        <c:axId val="81271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8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[Excel_jumia_dataset1.xlsx]Trend Analysis 2!PivotTable2</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a:solidFill>
                  <a:schemeClr val="accent2"/>
                </a:solidFill>
                <a:effectLst/>
              </a:rPr>
              <a:t>Ratings vs Reviews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2'!$B$3</c:f>
              <c:strCache>
                <c:ptCount val="1"/>
                <c:pt idx="0">
                  <c:v>Total</c:v>
                </c:pt>
              </c:strCache>
            </c:strRef>
          </c:tx>
          <c:spPr>
            <a:solidFill>
              <a:schemeClr val="accent1"/>
            </a:solidFill>
            <a:ln>
              <a:noFill/>
            </a:ln>
            <a:effectLst/>
          </c:spPr>
          <c:invertIfNegative val="0"/>
          <c:cat>
            <c:strRef>
              <c:f>'Trend Analysis 2'!$A$4:$A$8</c:f>
              <c:strCache>
                <c:ptCount val="4"/>
                <c:pt idx="0">
                  <c:v>Average</c:v>
                </c:pt>
                <c:pt idx="1">
                  <c:v>Excellent</c:v>
                </c:pt>
                <c:pt idx="2">
                  <c:v>Poor</c:v>
                </c:pt>
                <c:pt idx="3">
                  <c:v>Unknown</c:v>
                </c:pt>
              </c:strCache>
            </c:strRef>
          </c:cat>
          <c:val>
            <c:numRef>
              <c:f>'Trend Analysis 2'!$B$4:$B$8</c:f>
              <c:numCache>
                <c:formatCode>General</c:formatCode>
                <c:ptCount val="4"/>
                <c:pt idx="0">
                  <c:v>10.192307692307692</c:v>
                </c:pt>
                <c:pt idx="1">
                  <c:v>15.210526315789474</c:v>
                </c:pt>
                <c:pt idx="2">
                  <c:v>14.083333333333334</c:v>
                </c:pt>
                <c:pt idx="3">
                  <c:v>#N/A</c:v>
                </c:pt>
              </c:numCache>
            </c:numRef>
          </c:val>
          <c:extLst>
            <c:ext xmlns:c16="http://schemas.microsoft.com/office/drawing/2014/chart" uri="{C3380CC4-5D6E-409C-BE32-E72D297353CC}">
              <c16:uniqueId val="{00000000-90B0-4554-9FB0-BD3946CBD472}"/>
            </c:ext>
          </c:extLst>
        </c:ser>
        <c:dLbls>
          <c:showLegendKey val="0"/>
          <c:showVal val="0"/>
          <c:showCatName val="0"/>
          <c:showSerName val="0"/>
          <c:showPercent val="0"/>
          <c:showBubbleSize val="0"/>
        </c:dLbls>
        <c:gapWidth val="219"/>
        <c:overlap val="-27"/>
        <c:axId val="880097327"/>
        <c:axId val="812748879"/>
      </c:barChart>
      <c:catAx>
        <c:axId val="88009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48879"/>
        <c:crosses val="autoZero"/>
        <c:auto val="1"/>
        <c:lblAlgn val="ctr"/>
        <c:lblOffset val="100"/>
        <c:noMultiLvlLbl val="0"/>
      </c:catAx>
      <c:valAx>
        <c:axId val="8127488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09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[Excel_jumia_dataset1.xlsx]Trend Analysis 3!PivotTable4</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a:solidFill>
                  <a:schemeClr val="accent2"/>
                </a:solidFill>
                <a:effectLst/>
              </a:rPr>
              <a:t>Price vs Rating</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 Analysis 3'!$B$3</c:f>
              <c:strCache>
                <c:ptCount val="1"/>
                <c:pt idx="0">
                  <c:v>Total</c:v>
                </c:pt>
              </c:strCache>
            </c:strRef>
          </c:tx>
          <c:spPr>
            <a:solidFill>
              <a:schemeClr val="accent1"/>
            </a:solidFill>
            <a:ln>
              <a:noFill/>
            </a:ln>
            <a:effectLst/>
          </c:spPr>
          <c:invertIfNegative val="0"/>
          <c:cat>
            <c:strRef>
              <c:f>'Trend Analysis 3'!$A$4:$A$7</c:f>
              <c:strCache>
                <c:ptCount val="3"/>
                <c:pt idx="0">
                  <c:v>High Price</c:v>
                </c:pt>
                <c:pt idx="1">
                  <c:v>Low Price</c:v>
                </c:pt>
                <c:pt idx="2">
                  <c:v>Medium Price</c:v>
                </c:pt>
              </c:strCache>
            </c:strRef>
          </c:cat>
          <c:val>
            <c:numRef>
              <c:f>'Trend Analysis 3'!$B$4:$B$7</c:f>
              <c:numCache>
                <c:formatCode>General</c:formatCode>
                <c:ptCount val="3"/>
                <c:pt idx="0">
                  <c:v>4</c:v>
                </c:pt>
                <c:pt idx="1">
                  <c:v>3.8933333333333331</c:v>
                </c:pt>
                <c:pt idx="2">
                  <c:v>3.85</c:v>
                </c:pt>
              </c:numCache>
            </c:numRef>
          </c:val>
          <c:extLst>
            <c:ext xmlns:c16="http://schemas.microsoft.com/office/drawing/2014/chart" uri="{C3380CC4-5D6E-409C-BE32-E72D297353CC}">
              <c16:uniqueId val="{00000000-239D-4E49-BC46-06D9DC18DDDC}"/>
            </c:ext>
          </c:extLst>
        </c:ser>
        <c:dLbls>
          <c:showLegendKey val="0"/>
          <c:showVal val="0"/>
          <c:showCatName val="0"/>
          <c:showSerName val="0"/>
          <c:showPercent val="0"/>
          <c:showBubbleSize val="0"/>
        </c:dLbls>
        <c:gapWidth val="219"/>
        <c:overlap val="-27"/>
        <c:axId val="1332003231"/>
        <c:axId val="812654799"/>
      </c:barChart>
      <c:catAx>
        <c:axId val="133200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654799"/>
        <c:crosses val="autoZero"/>
        <c:auto val="1"/>
        <c:lblAlgn val="ctr"/>
        <c:lblOffset val="100"/>
        <c:noMultiLvlLbl val="0"/>
      </c:catAx>
      <c:valAx>
        <c:axId val="81265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20032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[Excel_jumia_dataset1.xlsx]Rating Categories!PivotTable16</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r>
              <a:rPr lang="en-GB" sz="1400" b="1" i="0">
                <a:solidFill>
                  <a:schemeClr val="accent2"/>
                </a:solidFill>
                <a:effectLst/>
              </a:rPr>
              <a:t>Rating Category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'Rating Categories'!$B$3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485-474F-8B56-3CD0A07DB85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485-474F-8B56-3CD0A07DB851}"/>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485-474F-8B56-3CD0A07DB851}"/>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485-474F-8B56-3CD0A07DB85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'Rating Categories'!$A$4:$A$8</c:f>
              <c:strCache>
                <c:ptCount val="4"/>
                <c:pt idx="0">
                  <c:v>Average</c:v>
                </c:pt>
                <c:pt idx="1">
                  <c:v>Excellent</c:v>
                </c:pt>
                <c:pt idx="2">
                  <c:v>Poor</c:v>
                </c:pt>
                <c:pt idx="3">
                  <c:v>Unknown</c:v>
                </c:pt>
              </c:strCache>
            </c:strRef>
          </c:cat>
          <c:val>
            <c:numRef>
              <c:f>'Rating Categories'!$B$4:$B$8</c:f>
              <c:numCache>
                <c:formatCode>General</c:formatCode>
                <c:ptCount val="4"/>
                <c:pt idx="0">
                  <c:v>26</c:v>
                </c:pt>
                <c:pt idx="1">
                  <c:v>19</c:v>
                </c:pt>
                <c:pt idx="2">
                  <c:v>12</c:v>
                </c:pt>
                <c:pt idx="3">
                  <c:v>55</c:v>
                </c:pt>
              </c:numCache>
            </c:numRef>
          </c:val>
          <c:extLst>
            <c:ext xmlns:c16="http://schemas.microsoft.com/office/drawing/2014/chart" uri="{C3380CC4-5D6E-409C-BE32-E72D297353CC}">
              <c16:uniqueId val="{00000008-4485-474F-8B56-3CD0A07DB85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[Excel_jumia_dataset1.xlsx]Price Categories!PivotTable18</c:name>
    <c:fmtId val="1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GB" sz="1400" b="1" i="0" baseline="0">
                <a:solidFill>
                  <a:schemeClr val="accent2"/>
                </a:solidFill>
                <a:effectLst/>
              </a:rPr>
              <a:t>Price Category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'Price Categories'!$B$3</c:f>
              <c:strCache>
                <c:ptCount val="1"/>
                <c:pt idx="0">
                  <c:v>Total</c:v>
                </c:pt>
              </c:strCache>
            </c:strRef>
          </c:tx>
          <c:spPr>
            <a:solidFill>
              <a:schemeClr val="accent1"/>
            </a:solidFill>
            <a:ln>
              <a:noFill/>
            </a:ln>
            <a:effectLst/>
          </c:spPr>
          <c:invertIfNegative val="0"/>
          <c:cat>
            <c:strRef>
              <c:f>'Price Categories'!$A$4:$A$7</c:f>
              <c:strCache>
                <c:ptCount val="3"/>
                <c:pt idx="0">
                  <c:v>High Price</c:v>
                </c:pt>
                <c:pt idx="1">
                  <c:v>Low Price</c:v>
                </c:pt>
                <c:pt idx="2">
                  <c:v>Medium Price</c:v>
                </c:pt>
              </c:strCache>
            </c:strRef>
          </c:cat>
          <c:val>
            <c:numRef>
              <c:f>'Price Categories'!$B$4:$B$7</c:f>
              <c:numCache>
                <c:formatCode>General</c:formatCode>
                <c:ptCount val="3"/>
                <c:pt idx="0">
                  <c:v>3</c:v>
                </c:pt>
                <c:pt idx="1">
                  <c:v>95</c:v>
                </c:pt>
                <c:pt idx="2">
                  <c:v>14</c:v>
                </c:pt>
              </c:numCache>
            </c:numRef>
          </c:val>
          <c:extLst>
            <c:ext xmlns:c16="http://schemas.microsoft.com/office/drawing/2014/chart" uri="{C3380CC4-5D6E-409C-BE32-E72D297353CC}">
              <c16:uniqueId val="{00000000-E04D-4802-89B9-CACFB3688FA4}"/>
            </c:ext>
          </c:extLst>
        </c:ser>
        <c:dLbls>
          <c:showLegendKey val="0"/>
          <c:showVal val="0"/>
          <c:showCatName val="0"/>
          <c:showSerName val="0"/>
          <c:showPercent val="0"/>
          <c:showBubbleSize val="0"/>
        </c:dLbls>
        <c:gapWidth val="219"/>
        <c:overlap val="-27"/>
        <c:axId val="1766585567"/>
        <c:axId val="812712399"/>
      </c:barChart>
      <c:catAx>
        <c:axId val="1766585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2712399"/>
        <c:crosses val="autoZero"/>
        <c:auto val="1"/>
        <c:lblAlgn val="ctr"/>
        <c:lblOffset val="100"/>
        <c:noMultiLvlLbl val="0"/>
      </c:catAx>
      <c:valAx>
        <c:axId val="812712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6585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[Excel_jumia_dataset1.xlsx]Discount Categories!PivotTable17</c:name>
    <c:fmtId val="2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r>
              <a:rPr lang="en-GB" sz="1400" b="1" i="0" u="none" strike="noStrike" kern="1200" baseline="0">
                <a:solidFill>
                  <a:schemeClr val="accent2"/>
                </a:solidFill>
                <a:effectLst/>
              </a:rPr>
              <a:t>Discount Category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'Discount Categories'!$B$3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123-47A0-B613-A79DC3F9F9F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123-47A0-B613-A79DC3F9F9F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123-47A0-B613-A79DC3F9F9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'Discount Categories'!$A$4:$A$7</c:f>
              <c:strCache>
                <c:ptCount val="3"/>
                <c:pt idx="0">
                  <c:v>High Discount</c:v>
                </c:pt>
                <c:pt idx="1">
                  <c:v>Low Discount</c:v>
                </c:pt>
                <c:pt idx="2">
                  <c:v>Medium Discount</c:v>
                </c:pt>
              </c:strCache>
            </c:strRef>
          </c:cat>
          <c:val>
            <c:numRef>
              <c:f>'Discount Categories'!$B$4:$B$7</c:f>
              <c:numCache>
                <c:formatCode>General</c:formatCode>
                <c:ptCount val="3"/>
                <c:pt idx="0">
                  <c:v>62</c:v>
                </c:pt>
                <c:pt idx="1">
                  <c:v>18</c:v>
                </c:pt>
                <c:pt idx="2">
                  <c:v>32</c:v>
                </c:pt>
              </c:numCache>
            </c:numRef>
          </c:val>
          <c:extLst>
            <c:ext xmlns:c16="http://schemas.microsoft.com/office/drawing/2014/chart" uri="{C3380CC4-5D6E-409C-BE32-E72D297353CC}">
              <c16:uniqueId val="{00000006-1123-47A0-B613-A79DC3F9F9F7}"/>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22225</xdr:colOff>
      <xdr:row>7</xdr:row>
      <xdr:rowOff>66675</xdr:rowOff>
    </xdr:from>
    <xdr:to>
      <xdr:col>5</xdr:col>
      <xdr:colOff>542925</xdr:colOff>
      <xdr:row>22</xdr:row>
      <xdr:rowOff>47625</xdr:rowOff>
    </xdr:to>
    <xdr:graphicFrame macro="">
      <xdr:nvGraphicFramePr>
        <xdr:cNvPr id="5" name="Chart 4">
          <a:extLst>
            <a:ext uri="{FF2B5EF4-FFF2-40B4-BE49-F238E27FC236}">
              <a16:creationId xmlns:a16="http://schemas.microsoft.com/office/drawing/2014/main" id="{0324258F-0FA9-8B03-A523-DF3AC15C88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22225</xdr:rowOff>
    </xdr:from>
    <xdr:to>
      <xdr:col>6</xdr:col>
      <xdr:colOff>139700</xdr:colOff>
      <xdr:row>23</xdr:row>
      <xdr:rowOff>3175</xdr:rowOff>
    </xdr:to>
    <xdr:graphicFrame macro="">
      <xdr:nvGraphicFramePr>
        <xdr:cNvPr id="4" name="Chart 3">
          <a:extLst>
            <a:ext uri="{FF2B5EF4-FFF2-40B4-BE49-F238E27FC236}">
              <a16:creationId xmlns:a16="http://schemas.microsoft.com/office/drawing/2014/main" id="{FD02B4FB-5083-A2D4-3954-E5229CB29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xdr:row>
      <xdr:rowOff>53975</xdr:rowOff>
    </xdr:from>
    <xdr:to>
      <xdr:col>6</xdr:col>
      <xdr:colOff>184150</xdr:colOff>
      <xdr:row>22</xdr:row>
      <xdr:rowOff>34925</xdr:rowOff>
    </xdr:to>
    <xdr:graphicFrame macro="">
      <xdr:nvGraphicFramePr>
        <xdr:cNvPr id="4" name="Chart 3">
          <a:extLst>
            <a:ext uri="{FF2B5EF4-FFF2-40B4-BE49-F238E27FC236}">
              <a16:creationId xmlns:a16="http://schemas.microsoft.com/office/drawing/2014/main" id="{F55908FE-EEC2-3941-1880-2CD669417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xdr:row>
      <xdr:rowOff>22225</xdr:rowOff>
    </xdr:from>
    <xdr:to>
      <xdr:col>6</xdr:col>
      <xdr:colOff>203200</xdr:colOff>
      <xdr:row>23</xdr:row>
      <xdr:rowOff>3175</xdr:rowOff>
    </xdr:to>
    <xdr:graphicFrame macro="">
      <xdr:nvGraphicFramePr>
        <xdr:cNvPr id="3" name="Chart 2">
          <a:extLst>
            <a:ext uri="{FF2B5EF4-FFF2-40B4-BE49-F238E27FC236}">
              <a16:creationId xmlns:a16="http://schemas.microsoft.com/office/drawing/2014/main" id="{893EE425-F74D-5C15-FC1E-4267D9AA2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19050</xdr:colOff>
      <xdr:row>9</xdr:row>
      <xdr:rowOff>15875</xdr:rowOff>
    </xdr:from>
    <xdr:to>
      <xdr:col>6</xdr:col>
      <xdr:colOff>222250</xdr:colOff>
      <xdr:row>23</xdr:row>
      <xdr:rowOff>180975</xdr:rowOff>
    </xdr:to>
    <xdr:graphicFrame macro="">
      <xdr:nvGraphicFramePr>
        <xdr:cNvPr id="3" name="Chart 2">
          <a:extLst>
            <a:ext uri="{FF2B5EF4-FFF2-40B4-BE49-F238E27FC236}">
              <a16:creationId xmlns:a16="http://schemas.microsoft.com/office/drawing/2014/main" id="{778CA987-656A-4450-6811-CD4964E47A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8</xdr:row>
      <xdr:rowOff>28575</xdr:rowOff>
    </xdr:from>
    <xdr:to>
      <xdr:col>5</xdr:col>
      <xdr:colOff>593725</xdr:colOff>
      <xdr:row>23</xdr:row>
      <xdr:rowOff>9525</xdr:rowOff>
    </xdr:to>
    <xdr:graphicFrame macro="">
      <xdr:nvGraphicFramePr>
        <xdr:cNvPr id="4" name="Chart 3">
          <a:extLst>
            <a:ext uri="{FF2B5EF4-FFF2-40B4-BE49-F238E27FC236}">
              <a16:creationId xmlns:a16="http://schemas.microsoft.com/office/drawing/2014/main" id="{5DCB5BCA-7440-CE94-7392-50C9A6AD9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76200</xdr:colOff>
      <xdr:row>1</xdr:row>
      <xdr:rowOff>177800</xdr:rowOff>
    </xdr:from>
    <xdr:to>
      <xdr:col>5</xdr:col>
      <xdr:colOff>76200</xdr:colOff>
      <xdr:row>15</xdr:row>
      <xdr:rowOff>123825</xdr:rowOff>
    </xdr:to>
    <mc:AlternateContent xmlns:mc="http://schemas.openxmlformats.org/markup-compatibility/2006" xmlns:a14="http://schemas.microsoft.com/office/drawing/2010/main">
      <mc:Choice Requires="a14">
        <xdr:graphicFrame macro="">
          <xdr:nvGraphicFramePr>
            <xdr:cNvPr id="2" name="Discount">
              <a:extLst>
                <a:ext uri="{FF2B5EF4-FFF2-40B4-BE49-F238E27FC236}">
                  <a16:creationId xmlns:a16="http://schemas.microsoft.com/office/drawing/2014/main" id="{0CEC53DD-F23A-155C-0628-0BBCC9C84348}"/>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mlns="">
        <xdr:sp macro="" textlink="">
          <xdr:nvSpPr>
            <xdr:cNvPr id="0" name=""/>
            <xdr:cNvSpPr>
              <a:spLocks noTextEdit="1"/>
            </xdr:cNvSpPr>
          </xdr:nvSpPr>
          <xdr:spPr>
            <a:xfrm>
              <a:off x="6172200" y="3619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12700</xdr:colOff>
      <xdr:row>16</xdr:row>
      <xdr:rowOff>9525</xdr:rowOff>
    </xdr:from>
    <xdr:to>
      <xdr:col>0</xdr:col>
      <xdr:colOff>4584700</xdr:colOff>
      <xdr:row>30</xdr:row>
      <xdr:rowOff>174625</xdr:rowOff>
    </xdr:to>
    <xdr:graphicFrame macro="">
      <xdr:nvGraphicFramePr>
        <xdr:cNvPr id="3" name="Chart 2">
          <a:extLst>
            <a:ext uri="{FF2B5EF4-FFF2-40B4-BE49-F238E27FC236}">
              <a16:creationId xmlns:a16="http://schemas.microsoft.com/office/drawing/2014/main" id="{ABBBC289-F62B-91BB-203C-BBB1C12A9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63500</xdr:colOff>
      <xdr:row>2</xdr:row>
      <xdr:rowOff>0</xdr:rowOff>
    </xdr:from>
    <xdr:to>
      <xdr:col>5</xdr:col>
      <xdr:colOff>63500</xdr:colOff>
      <xdr:row>15</xdr:row>
      <xdr:rowOff>130175</xdr:rowOff>
    </xdr:to>
    <mc:AlternateContent xmlns:mc="http://schemas.openxmlformats.org/markup-compatibility/2006" xmlns:a14="http://schemas.microsoft.com/office/drawing/2010/main">
      <mc:Choice Requires="a14">
        <xdr:graphicFrame macro="">
          <xdr:nvGraphicFramePr>
            <xdr:cNvPr id="2" name="Review">
              <a:extLst>
                <a:ext uri="{FF2B5EF4-FFF2-40B4-BE49-F238E27FC236}">
                  <a16:creationId xmlns:a16="http://schemas.microsoft.com/office/drawing/2014/main" id="{1102613A-7651-9306-5BAF-263992B633D6}"/>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mlns="">
        <xdr:sp macro="" textlink="">
          <xdr:nvSpPr>
            <xdr:cNvPr id="0" name=""/>
            <xdr:cNvSpPr>
              <a:spLocks noTextEdit="1"/>
            </xdr:cNvSpPr>
          </xdr:nvSpPr>
          <xdr:spPr>
            <a:xfrm>
              <a:off x="5486400" y="368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28575</xdr:rowOff>
    </xdr:from>
    <xdr:to>
      <xdr:col>1</xdr:col>
      <xdr:colOff>279400</xdr:colOff>
      <xdr:row>30</xdr:row>
      <xdr:rowOff>9525</xdr:rowOff>
    </xdr:to>
    <xdr:graphicFrame macro="">
      <xdr:nvGraphicFramePr>
        <xdr:cNvPr id="3" name="Chart 2">
          <a:extLst>
            <a:ext uri="{FF2B5EF4-FFF2-40B4-BE49-F238E27FC236}">
              <a16:creationId xmlns:a16="http://schemas.microsoft.com/office/drawing/2014/main" id="{B4CCF440-C172-6470-7BBF-74C322A02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107950</xdr:colOff>
      <xdr:row>2</xdr:row>
      <xdr:rowOff>12700</xdr:rowOff>
    </xdr:from>
    <xdr:to>
      <xdr:col>5</xdr:col>
      <xdr:colOff>107950</xdr:colOff>
      <xdr:row>15</xdr:row>
      <xdr:rowOff>142875</xdr:rowOff>
    </xdr:to>
    <mc:AlternateContent xmlns:mc="http://schemas.openxmlformats.org/markup-compatibility/2006" xmlns:a14="http://schemas.microsoft.com/office/drawing/2010/main">
      <mc:Choice Requires="a14">
        <xdr:graphicFrame macro="">
          <xdr:nvGraphicFramePr>
            <xdr:cNvPr id="2" name="Rating">
              <a:extLst>
                <a:ext uri="{FF2B5EF4-FFF2-40B4-BE49-F238E27FC236}">
                  <a16:creationId xmlns:a16="http://schemas.microsoft.com/office/drawing/2014/main" id="{1520273B-4C80-0BB0-35E5-DB6491FED79D}"/>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5695950" y="3810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14</xdr:row>
      <xdr:rowOff>53975</xdr:rowOff>
    </xdr:from>
    <xdr:to>
      <xdr:col>1</xdr:col>
      <xdr:colOff>107950</xdr:colOff>
      <xdr:row>29</xdr:row>
      <xdr:rowOff>34925</xdr:rowOff>
    </xdr:to>
    <xdr:graphicFrame macro="">
      <xdr:nvGraphicFramePr>
        <xdr:cNvPr id="4" name="Chart 3">
          <a:extLst>
            <a:ext uri="{FF2B5EF4-FFF2-40B4-BE49-F238E27FC236}">
              <a16:creationId xmlns:a16="http://schemas.microsoft.com/office/drawing/2014/main" id="{E5FD5938-2E17-A885-7214-AF0D4E360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158749</xdr:colOff>
      <xdr:row>0</xdr:row>
      <xdr:rowOff>50800</xdr:rowOff>
    </xdr:from>
    <xdr:to>
      <xdr:col>25</xdr:col>
      <xdr:colOff>423332</xdr:colOff>
      <xdr:row>5</xdr:row>
      <xdr:rowOff>100794</xdr:rowOff>
    </xdr:to>
    <xdr:sp macro="" textlink="">
      <xdr:nvSpPr>
        <xdr:cNvPr id="2" name="Rectangle: Rounded Corners 1">
          <a:extLst>
            <a:ext uri="{FF2B5EF4-FFF2-40B4-BE49-F238E27FC236}">
              <a16:creationId xmlns:a16="http://schemas.microsoft.com/office/drawing/2014/main" id="{74C571E5-1494-61EA-3ABE-D2C0DC08ABEF}"/>
            </a:ext>
          </a:extLst>
        </xdr:cNvPr>
        <xdr:cNvSpPr/>
      </xdr:nvSpPr>
      <xdr:spPr>
        <a:xfrm>
          <a:off x="158749" y="50800"/>
          <a:ext cx="15383631" cy="957137"/>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b="1">
              <a:solidFill>
                <a:schemeClr val="accent2"/>
              </a:solidFill>
            </a:rPr>
            <a:t>Jumia Product Performance Dashboard</a:t>
          </a:r>
        </a:p>
        <a:p>
          <a:pPr algn="ctr"/>
          <a:r>
            <a:rPr lang="en-GB" sz="2000" b="1">
              <a:solidFill>
                <a:schemeClr val="accent2"/>
              </a:solidFill>
            </a:rPr>
            <a:t>Analyzing Pricing, Discounts, and Customer Reviews</a:t>
          </a:r>
        </a:p>
      </xdr:txBody>
    </xdr:sp>
    <xdr:clientData/>
  </xdr:twoCellAnchor>
  <xdr:twoCellAnchor>
    <xdr:from>
      <xdr:col>1</xdr:col>
      <xdr:colOff>99483</xdr:colOff>
      <xdr:row>5</xdr:row>
      <xdr:rowOff>146049</xdr:rowOff>
    </xdr:from>
    <xdr:to>
      <xdr:col>5</xdr:col>
      <xdr:colOff>30237</xdr:colOff>
      <xdr:row>8</xdr:row>
      <xdr:rowOff>97014</xdr:rowOff>
    </xdr:to>
    <xdr:sp macro="" textlink="">
      <xdr:nvSpPr>
        <xdr:cNvPr id="3" name="Rectangle: Rounded Corners 2">
          <a:extLst>
            <a:ext uri="{FF2B5EF4-FFF2-40B4-BE49-F238E27FC236}">
              <a16:creationId xmlns:a16="http://schemas.microsoft.com/office/drawing/2014/main" id="{D7B5BF2F-6DD6-1208-EE48-D145AD3865F6}"/>
            </a:ext>
          </a:extLst>
        </xdr:cNvPr>
        <xdr:cNvSpPr/>
      </xdr:nvSpPr>
      <xdr:spPr>
        <a:xfrm>
          <a:off x="708025" y="1072091"/>
          <a:ext cx="2364920" cy="50659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b="1">
              <a:solidFill>
                <a:schemeClr val="accent2"/>
              </a:solidFill>
            </a:rPr>
            <a:t>Total Number Of Products</a:t>
          </a:r>
        </a:p>
        <a:p>
          <a:pPr algn="ctr"/>
          <a:r>
            <a:rPr lang="en-GB" sz="1100" b="1">
              <a:solidFill>
                <a:schemeClr val="accent2"/>
              </a:solidFill>
            </a:rPr>
            <a:t>112</a:t>
          </a:r>
        </a:p>
      </xdr:txBody>
    </xdr:sp>
    <xdr:clientData/>
  </xdr:twoCellAnchor>
  <xdr:twoCellAnchor>
    <xdr:from>
      <xdr:col>5</xdr:col>
      <xdr:colOff>413255</xdr:colOff>
      <xdr:row>5</xdr:row>
      <xdr:rowOff>142321</xdr:rowOff>
    </xdr:from>
    <xdr:to>
      <xdr:col>9</xdr:col>
      <xdr:colOff>307322</xdr:colOff>
      <xdr:row>8</xdr:row>
      <xdr:rowOff>91521</xdr:rowOff>
    </xdr:to>
    <xdr:sp macro="" textlink="">
      <xdr:nvSpPr>
        <xdr:cNvPr id="4" name="Rectangle: Rounded Corners 3">
          <a:extLst>
            <a:ext uri="{FF2B5EF4-FFF2-40B4-BE49-F238E27FC236}">
              <a16:creationId xmlns:a16="http://schemas.microsoft.com/office/drawing/2014/main" id="{1D29FE7D-080A-492E-ACD1-63108AD03A7F}"/>
            </a:ext>
          </a:extLst>
        </xdr:cNvPr>
        <xdr:cNvSpPr/>
      </xdr:nvSpPr>
      <xdr:spPr>
        <a:xfrm>
          <a:off x="3437065" y="1049464"/>
          <a:ext cx="2313114" cy="493486"/>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b="1">
              <a:solidFill>
                <a:schemeClr val="accent2"/>
              </a:solidFill>
            </a:rPr>
            <a:t>Average Product Price</a:t>
          </a:r>
        </a:p>
        <a:p>
          <a:pPr algn="ctr"/>
          <a:r>
            <a:rPr lang="en-GB" sz="1100" b="1">
              <a:solidFill>
                <a:schemeClr val="accent2"/>
              </a:solidFill>
            </a:rPr>
            <a:t>1165</a:t>
          </a:r>
        </a:p>
      </xdr:txBody>
    </xdr:sp>
    <xdr:clientData/>
  </xdr:twoCellAnchor>
  <xdr:twoCellAnchor>
    <xdr:from>
      <xdr:col>9</xdr:col>
      <xdr:colOff>493889</xdr:colOff>
      <xdr:row>5</xdr:row>
      <xdr:rowOff>138591</xdr:rowOff>
    </xdr:from>
    <xdr:to>
      <xdr:col>14</xdr:col>
      <xdr:colOff>265288</xdr:colOff>
      <xdr:row>8</xdr:row>
      <xdr:rowOff>87791</xdr:rowOff>
    </xdr:to>
    <xdr:sp macro="" textlink="">
      <xdr:nvSpPr>
        <xdr:cNvPr id="5" name="Rectangle: Rounded Corners 4">
          <a:extLst>
            <a:ext uri="{FF2B5EF4-FFF2-40B4-BE49-F238E27FC236}">
              <a16:creationId xmlns:a16="http://schemas.microsoft.com/office/drawing/2014/main" id="{086339A2-5F0E-447F-8621-9B45C861C8D4}"/>
            </a:ext>
          </a:extLst>
        </xdr:cNvPr>
        <xdr:cNvSpPr/>
      </xdr:nvSpPr>
      <xdr:spPr>
        <a:xfrm>
          <a:off x="5936746" y="1045734"/>
          <a:ext cx="2795209" cy="493486"/>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b="1">
              <a:solidFill>
                <a:schemeClr val="accent2"/>
              </a:solidFill>
            </a:rPr>
            <a:t>Average Discount Percentage</a:t>
          </a:r>
        </a:p>
        <a:p>
          <a:pPr algn="ctr"/>
          <a:r>
            <a:rPr lang="en-GB" sz="1100" b="1">
              <a:solidFill>
                <a:schemeClr val="accent2"/>
              </a:solidFill>
            </a:rPr>
            <a:t>37%</a:t>
          </a:r>
        </a:p>
      </xdr:txBody>
    </xdr:sp>
    <xdr:clientData/>
  </xdr:twoCellAnchor>
  <xdr:twoCellAnchor>
    <xdr:from>
      <xdr:col>14</xdr:col>
      <xdr:colOff>443492</xdr:colOff>
      <xdr:row>5</xdr:row>
      <xdr:rowOff>152401</xdr:rowOff>
    </xdr:from>
    <xdr:to>
      <xdr:col>19</xdr:col>
      <xdr:colOff>293612</xdr:colOff>
      <xdr:row>8</xdr:row>
      <xdr:rowOff>88901</xdr:rowOff>
    </xdr:to>
    <xdr:sp macro="" textlink="">
      <xdr:nvSpPr>
        <xdr:cNvPr id="6" name="Rectangle: Rounded Corners 5">
          <a:extLst>
            <a:ext uri="{FF2B5EF4-FFF2-40B4-BE49-F238E27FC236}">
              <a16:creationId xmlns:a16="http://schemas.microsoft.com/office/drawing/2014/main" id="{47E96635-2F93-4E39-861A-63F66BECDD92}"/>
            </a:ext>
          </a:extLst>
        </xdr:cNvPr>
        <xdr:cNvSpPr/>
      </xdr:nvSpPr>
      <xdr:spPr>
        <a:xfrm>
          <a:off x="8910159" y="1059544"/>
          <a:ext cx="2873929" cy="480786"/>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b="1">
              <a:solidFill>
                <a:schemeClr val="accent2"/>
              </a:solidFill>
            </a:rPr>
            <a:t>Average Rating</a:t>
          </a:r>
        </a:p>
        <a:p>
          <a:pPr algn="ctr"/>
          <a:r>
            <a:rPr lang="en-GB" sz="1100" b="1">
              <a:solidFill>
                <a:schemeClr val="accent2"/>
              </a:solidFill>
            </a:rPr>
            <a:t>3.9</a:t>
          </a:r>
        </a:p>
      </xdr:txBody>
    </xdr:sp>
    <xdr:clientData/>
  </xdr:twoCellAnchor>
  <xdr:twoCellAnchor>
    <xdr:from>
      <xdr:col>19</xdr:col>
      <xdr:colOff>372937</xdr:colOff>
      <xdr:row>5</xdr:row>
      <xdr:rowOff>131032</xdr:rowOff>
    </xdr:from>
    <xdr:to>
      <xdr:col>24</xdr:col>
      <xdr:colOff>465667</xdr:colOff>
      <xdr:row>8</xdr:row>
      <xdr:rowOff>77712</xdr:rowOff>
    </xdr:to>
    <xdr:sp macro="" textlink="">
      <xdr:nvSpPr>
        <xdr:cNvPr id="7" name="Rectangle: Rounded Corners 6">
          <a:extLst>
            <a:ext uri="{FF2B5EF4-FFF2-40B4-BE49-F238E27FC236}">
              <a16:creationId xmlns:a16="http://schemas.microsoft.com/office/drawing/2014/main" id="{DFD762EE-62A5-4125-A791-0F3D79C5964D}"/>
            </a:ext>
          </a:extLst>
        </xdr:cNvPr>
        <xdr:cNvSpPr/>
      </xdr:nvSpPr>
      <xdr:spPr>
        <a:xfrm>
          <a:off x="11863413" y="1038175"/>
          <a:ext cx="3116540" cy="490966"/>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b="1">
              <a:solidFill>
                <a:schemeClr val="accent2"/>
              </a:solidFill>
            </a:rPr>
            <a:t>Total Customer Reviews</a:t>
          </a:r>
        </a:p>
        <a:p>
          <a:pPr algn="ctr"/>
          <a:r>
            <a:rPr lang="en-GB" sz="1100" b="1">
              <a:solidFill>
                <a:schemeClr val="accent2"/>
              </a:solidFill>
            </a:rPr>
            <a:t>723</a:t>
          </a:r>
        </a:p>
      </xdr:txBody>
    </xdr:sp>
    <xdr:clientData/>
  </xdr:twoCellAnchor>
  <xdr:twoCellAnchor>
    <xdr:from>
      <xdr:col>3</xdr:col>
      <xdr:colOff>12700</xdr:colOff>
      <xdr:row>8</xdr:row>
      <xdr:rowOff>120650</xdr:rowOff>
    </xdr:from>
    <xdr:to>
      <xdr:col>10</xdr:col>
      <xdr:colOff>317500</xdr:colOff>
      <xdr:row>23</xdr:row>
      <xdr:rowOff>101600</xdr:rowOff>
    </xdr:to>
    <xdr:graphicFrame macro="">
      <xdr:nvGraphicFramePr>
        <xdr:cNvPr id="8" name="Chart 7">
          <a:extLst>
            <a:ext uri="{FF2B5EF4-FFF2-40B4-BE49-F238E27FC236}">
              <a16:creationId xmlns:a16="http://schemas.microsoft.com/office/drawing/2014/main" id="{AD34CD63-7F05-4582-983D-60FACCD21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323850</xdr:colOff>
      <xdr:row>8</xdr:row>
      <xdr:rowOff>120650</xdr:rowOff>
    </xdr:from>
    <xdr:to>
      <xdr:col>18</xdr:col>
      <xdr:colOff>19050</xdr:colOff>
      <xdr:row>23</xdr:row>
      <xdr:rowOff>101600</xdr:rowOff>
    </xdr:to>
    <xdr:graphicFrame macro="">
      <xdr:nvGraphicFramePr>
        <xdr:cNvPr id="9" name="Chart 8">
          <a:extLst>
            <a:ext uri="{FF2B5EF4-FFF2-40B4-BE49-F238E27FC236}">
              <a16:creationId xmlns:a16="http://schemas.microsoft.com/office/drawing/2014/main" id="{34D683CB-14B4-4C02-BE8E-9BAEF7014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19050</xdr:colOff>
      <xdr:row>8</xdr:row>
      <xdr:rowOff>120650</xdr:rowOff>
    </xdr:from>
    <xdr:to>
      <xdr:col>25</xdr:col>
      <xdr:colOff>323850</xdr:colOff>
      <xdr:row>23</xdr:row>
      <xdr:rowOff>101600</xdr:rowOff>
    </xdr:to>
    <xdr:graphicFrame macro="">
      <xdr:nvGraphicFramePr>
        <xdr:cNvPr id="10" name="Chart 9">
          <a:extLst>
            <a:ext uri="{FF2B5EF4-FFF2-40B4-BE49-F238E27FC236}">
              <a16:creationId xmlns:a16="http://schemas.microsoft.com/office/drawing/2014/main" id="{BCEA12CB-EDE1-4D8C-83D4-507EAD5AAC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19050</xdr:colOff>
      <xdr:row>23</xdr:row>
      <xdr:rowOff>101600</xdr:rowOff>
    </xdr:from>
    <xdr:to>
      <xdr:col>10</xdr:col>
      <xdr:colOff>323850</xdr:colOff>
      <xdr:row>38</xdr:row>
      <xdr:rowOff>82550</xdr:rowOff>
    </xdr:to>
    <xdr:graphicFrame macro="">
      <xdr:nvGraphicFramePr>
        <xdr:cNvPr id="14" name="Chart 13">
          <a:extLst>
            <a:ext uri="{FF2B5EF4-FFF2-40B4-BE49-F238E27FC236}">
              <a16:creationId xmlns:a16="http://schemas.microsoft.com/office/drawing/2014/main" id="{2BA9E1EE-17E1-4A6B-A32D-A3F5784CD2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330200</xdr:colOff>
      <xdr:row>23</xdr:row>
      <xdr:rowOff>101600</xdr:rowOff>
    </xdr:from>
    <xdr:to>
      <xdr:col>18</xdr:col>
      <xdr:colOff>25400</xdr:colOff>
      <xdr:row>38</xdr:row>
      <xdr:rowOff>82550</xdr:rowOff>
    </xdr:to>
    <xdr:graphicFrame macro="">
      <xdr:nvGraphicFramePr>
        <xdr:cNvPr id="15" name="Chart 14">
          <a:extLst>
            <a:ext uri="{FF2B5EF4-FFF2-40B4-BE49-F238E27FC236}">
              <a16:creationId xmlns:a16="http://schemas.microsoft.com/office/drawing/2014/main" id="{D92B147E-236C-4958-B0CD-2FDC8CBC2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25400</xdr:colOff>
      <xdr:row>23</xdr:row>
      <xdr:rowOff>101600</xdr:rowOff>
    </xdr:from>
    <xdr:to>
      <xdr:col>25</xdr:col>
      <xdr:colOff>330200</xdr:colOff>
      <xdr:row>38</xdr:row>
      <xdr:rowOff>82550</xdr:rowOff>
    </xdr:to>
    <xdr:graphicFrame macro="">
      <xdr:nvGraphicFramePr>
        <xdr:cNvPr id="16" name="Chart 15">
          <a:extLst>
            <a:ext uri="{FF2B5EF4-FFF2-40B4-BE49-F238E27FC236}">
              <a16:creationId xmlns:a16="http://schemas.microsoft.com/office/drawing/2014/main" id="{9F87A19F-7EC8-47C3-9A5E-AC085BA556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19050</xdr:colOff>
      <xdr:row>38</xdr:row>
      <xdr:rowOff>88900</xdr:rowOff>
    </xdr:from>
    <xdr:to>
      <xdr:col>10</xdr:col>
      <xdr:colOff>323850</xdr:colOff>
      <xdr:row>53</xdr:row>
      <xdr:rowOff>69850</xdr:rowOff>
    </xdr:to>
    <xdr:graphicFrame macro="">
      <xdr:nvGraphicFramePr>
        <xdr:cNvPr id="17" name="Chart 16">
          <a:extLst>
            <a:ext uri="{FF2B5EF4-FFF2-40B4-BE49-F238E27FC236}">
              <a16:creationId xmlns:a16="http://schemas.microsoft.com/office/drawing/2014/main" id="{CE7376F7-AA8B-472E-9ED3-1B6104B85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38100</xdr:colOff>
      <xdr:row>38</xdr:row>
      <xdr:rowOff>88900</xdr:rowOff>
    </xdr:from>
    <xdr:to>
      <xdr:col>25</xdr:col>
      <xdr:colOff>342900</xdr:colOff>
      <xdr:row>53</xdr:row>
      <xdr:rowOff>69850</xdr:rowOff>
    </xdr:to>
    <xdr:graphicFrame macro="">
      <xdr:nvGraphicFramePr>
        <xdr:cNvPr id="21" name="Chart 20">
          <a:extLst>
            <a:ext uri="{FF2B5EF4-FFF2-40B4-BE49-F238E27FC236}">
              <a16:creationId xmlns:a16="http://schemas.microsoft.com/office/drawing/2014/main" id="{8408D82B-7E23-4644-AE98-264840728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330729</xdr:colOff>
      <xdr:row>38</xdr:row>
      <xdr:rowOff>85989</xdr:rowOff>
    </xdr:from>
    <xdr:to>
      <xdr:col>18</xdr:col>
      <xdr:colOff>34396</xdr:colOff>
      <xdr:row>53</xdr:row>
      <xdr:rowOff>51064</xdr:rowOff>
    </xdr:to>
    <xdr:graphicFrame macro="">
      <xdr:nvGraphicFramePr>
        <xdr:cNvPr id="26" name="Chart 25">
          <a:extLst>
            <a:ext uri="{FF2B5EF4-FFF2-40B4-BE49-F238E27FC236}">
              <a16:creationId xmlns:a16="http://schemas.microsoft.com/office/drawing/2014/main" id="{B1FDCF1D-EBFE-489E-9A94-876FECEE1D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8</xdr:row>
      <xdr:rowOff>117233</xdr:rowOff>
    </xdr:from>
    <xdr:to>
      <xdr:col>3</xdr:col>
      <xdr:colOff>11723</xdr:colOff>
      <xdr:row>23</xdr:row>
      <xdr:rowOff>107462</xdr:rowOff>
    </xdr:to>
    <mc:AlternateContent xmlns:mc="http://schemas.openxmlformats.org/markup-compatibility/2006" xmlns:a14="http://schemas.microsoft.com/office/drawing/2010/main">
      <mc:Choice Requires="a14">
        <xdr:graphicFrame macro="">
          <xdr:nvGraphicFramePr>
            <xdr:cNvPr id="36" name="Price Category 2">
              <a:extLst>
                <a:ext uri="{FF2B5EF4-FFF2-40B4-BE49-F238E27FC236}">
                  <a16:creationId xmlns:a16="http://schemas.microsoft.com/office/drawing/2014/main" id="{C7A0BE94-D97D-C153-2D6A-5E045E81C6BD}"/>
                </a:ext>
              </a:extLst>
            </xdr:cNvPr>
            <xdr:cNvGraphicFramePr/>
          </xdr:nvGraphicFramePr>
          <xdr:xfrm>
            <a:off x="0" y="0"/>
            <a:ext cx="0" cy="0"/>
          </xdr:xfrm>
          <a:graphic>
            <a:graphicData uri="http://schemas.microsoft.com/office/drawing/2010/slicer">
              <sle:slicer xmlns:sle="http://schemas.microsoft.com/office/drawing/2010/slicer" name="Price Category 2"/>
            </a:graphicData>
          </a:graphic>
        </xdr:graphicFrame>
      </mc:Choice>
      <mc:Fallback xmlns="">
        <xdr:sp macro="" textlink="">
          <xdr:nvSpPr>
            <xdr:cNvPr id="0" name=""/>
            <xdr:cNvSpPr>
              <a:spLocks noTextEdit="1"/>
            </xdr:cNvSpPr>
          </xdr:nvSpPr>
          <xdr:spPr>
            <a:xfrm>
              <a:off x="0" y="1577003"/>
              <a:ext cx="1851033" cy="27272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118207</xdr:rowOff>
    </xdr:from>
    <xdr:to>
      <xdr:col>3</xdr:col>
      <xdr:colOff>11723</xdr:colOff>
      <xdr:row>38</xdr:row>
      <xdr:rowOff>58615</xdr:rowOff>
    </xdr:to>
    <mc:AlternateContent xmlns:mc="http://schemas.openxmlformats.org/markup-compatibility/2006" xmlns:a14="http://schemas.microsoft.com/office/drawing/2010/main">
      <mc:Choice Requires="a14">
        <xdr:graphicFrame macro="">
          <xdr:nvGraphicFramePr>
            <xdr:cNvPr id="37" name="Discount Category 2">
              <a:extLst>
                <a:ext uri="{FF2B5EF4-FFF2-40B4-BE49-F238E27FC236}">
                  <a16:creationId xmlns:a16="http://schemas.microsoft.com/office/drawing/2014/main" id="{87E7A090-69E0-58C1-41DB-6A6952302BB7}"/>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mlns="">
        <xdr:sp macro="" textlink="">
          <xdr:nvSpPr>
            <xdr:cNvPr id="0" name=""/>
            <xdr:cNvSpPr>
              <a:spLocks noTextEdit="1"/>
            </xdr:cNvSpPr>
          </xdr:nvSpPr>
          <xdr:spPr>
            <a:xfrm>
              <a:off x="0" y="4315046"/>
              <a:ext cx="1851033" cy="26774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68384</xdr:rowOff>
    </xdr:from>
    <xdr:to>
      <xdr:col>3</xdr:col>
      <xdr:colOff>11723</xdr:colOff>
      <xdr:row>53</xdr:row>
      <xdr:rowOff>78155</xdr:rowOff>
    </xdr:to>
    <mc:AlternateContent xmlns:mc="http://schemas.openxmlformats.org/markup-compatibility/2006" xmlns:a14="http://schemas.microsoft.com/office/drawing/2010/main">
      <mc:Choice Requires="a14">
        <xdr:graphicFrame macro="">
          <xdr:nvGraphicFramePr>
            <xdr:cNvPr id="38" name="Rating Category 2">
              <a:extLst>
                <a:ext uri="{FF2B5EF4-FFF2-40B4-BE49-F238E27FC236}">
                  <a16:creationId xmlns:a16="http://schemas.microsoft.com/office/drawing/2014/main" id="{658B6543-6054-3F3B-D0B9-C46328499389}"/>
                </a:ext>
              </a:extLst>
            </xdr:cNvPr>
            <xdr:cNvGraphicFramePr/>
          </xdr:nvGraphicFramePr>
          <xdr:xfrm>
            <a:off x="0" y="0"/>
            <a:ext cx="0" cy="0"/>
          </xdr:xfrm>
          <a:graphic>
            <a:graphicData uri="http://schemas.microsoft.com/office/drawing/2010/slicer">
              <sle:slicer xmlns:sle="http://schemas.microsoft.com/office/drawing/2010/slicer" name="Rating Category 2"/>
            </a:graphicData>
          </a:graphic>
        </xdr:graphicFrame>
      </mc:Choice>
      <mc:Fallback xmlns="">
        <xdr:sp macro="" textlink="">
          <xdr:nvSpPr>
            <xdr:cNvPr id="0" name=""/>
            <xdr:cNvSpPr>
              <a:spLocks noTextEdit="1"/>
            </xdr:cNvSpPr>
          </xdr:nvSpPr>
          <xdr:spPr>
            <a:xfrm>
              <a:off x="0" y="7002292"/>
              <a:ext cx="1851033" cy="27468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913571412035" createdVersion="8" refreshedVersion="8" minRefreshableVersion="3" recordCount="112" xr:uid="{2EFE74AB-BD58-4873-8030-48062D0CF19F}">
  <cacheSource type="worksheet">
    <worksheetSource ref="A1:J113" sheet="Seller Performance Analysis"/>
  </cacheSource>
  <cacheFields count="10">
    <cacheField name="Product" numFmtId="0">
      <sharedItems count="109">
        <s v="115  Piece+A2:A105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5">
      <sharedItems containsSemiMixedTypes="0" containsString="0" containsNumber="1" containsInteger="1" minValue="38" maxValue="3750"/>
    </cacheField>
    <cacheField name="Old price" numFmtId="165">
      <sharedItems containsSemiMixedTypes="0" containsString="0" containsNumber="1" containsInteger="1" minValue="80" maxValue="6143"/>
    </cacheField>
    <cacheField name="Price Category" numFmtId="164">
      <sharedItems/>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9">
      <sharedItems count="3">
        <s v="Medium Discount"/>
        <s v="High Discount"/>
        <s v="Low Discount"/>
      </sharedItems>
    </cacheField>
    <cacheField name="Review" numFmtId="0">
      <sharedItems containsMixedTypes="1" containsNumber="1" containsInteger="1" minValue="1" maxValue="69"/>
    </cacheField>
    <cacheField name="Rating" numFmtId="0">
      <sharedItems containsMixedTypes="1" containsNumber="1" minValue="2" maxValue="5"/>
    </cacheField>
    <cacheField name="Rating Category" numFmtId="0">
      <sharedItems count="4">
        <s v="Average"/>
        <s v="Excellent"/>
        <s v="Unknown"/>
        <s v="Poo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913572453705" createdVersion="8" refreshedVersion="8" minRefreshableVersion="3" recordCount="112" xr:uid="{E137B281-233F-4030-9F78-564CA0746676}">
  <cacheSource type="worksheet">
    <worksheetSource ref="A1:J113" sheet="Product Perf. Analysis Master  "/>
  </cacheSource>
  <cacheFields count="10">
    <cacheField name="Product" numFmtId="0">
      <sharedItems count="109">
        <s v="115  Piece+A2:A105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5">
      <sharedItems containsSemiMixedTypes="0" containsString="0" containsNumber="1" containsInteger="1" minValue="38" maxValue="3750"/>
    </cacheField>
    <cacheField name="Old price" numFmtId="165">
      <sharedItems containsSemiMixedTypes="0" containsString="0" containsNumber="1" containsInteger="1" minValue="80" maxValue="6143"/>
    </cacheField>
    <cacheField name="Price Category" numFmtId="164">
      <sharedItems/>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Discount Category" numFmtId="9">
      <sharedItems count="3">
        <s v="Medium Discount"/>
        <s v="High Discount"/>
        <s v="Low Discount"/>
      </sharedItems>
    </cacheField>
    <cacheField name="Review" numFmtId="0">
      <sharedItems containsMixedTypes="1" containsNumber="1" containsInteger="1" minValue="1" maxValue="69" count="24">
        <n v="2"/>
        <n v="14"/>
        <n v="24"/>
        <n v="7"/>
        <n v="5"/>
        <n v="15"/>
        <n v="55"/>
        <n v="12"/>
        <n v="39"/>
        <n v="6"/>
        <n v="9"/>
        <n v="3"/>
        <n v="44"/>
        <n v="13"/>
        <s v="Unknown"/>
        <n v="49"/>
        <n v="20"/>
        <n v="32"/>
        <n v="1"/>
        <n v="36"/>
        <n v="10"/>
        <n v="69"/>
        <n v="16"/>
        <n v="17"/>
      </sharedItems>
    </cacheField>
    <cacheField name="Rating" numFmtId="0">
      <sharedItems containsMixedTypes="1" containsNumber="1" minValue="2" maxValue="5" count="23">
        <n v="4.5"/>
        <n v="4.0999999999999996"/>
        <n v="4.5999999999999996"/>
        <n v="4.7"/>
        <n v="4.8"/>
        <n v="4"/>
        <n v="3.8"/>
        <n v="4.2"/>
        <n v="5"/>
        <n v="3.3"/>
        <s v="Unknown"/>
        <n v="4.4000000000000004"/>
        <n v="4.3"/>
        <n v="2.5"/>
        <n v="3"/>
        <n v="2.1"/>
        <n v="2.8"/>
        <n v="2.7"/>
        <n v="2.9"/>
        <n v="2.2000000000000002"/>
        <n v="2.2999999999999998"/>
        <n v="2.6"/>
        <n v="2"/>
      </sharedItems>
    </cacheField>
    <cacheField name="Rating Category" numFmtId="0">
      <sharedItems count="4">
        <s v="Average"/>
        <s v="Excellent"/>
        <s v="Unknown"/>
        <s v="Poor"/>
      </sharedItems>
    </cacheField>
  </cacheFields>
  <extLst>
    <ext xmlns:x14="http://schemas.microsoft.com/office/spreadsheetml/2009/9/main" uri="{725AE2AE-9491-48be-B2B4-4EB974FC3084}">
      <x14:pivotCacheDefinition pivotCacheId="89566419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91357326389" createdVersion="8" refreshedVersion="8" minRefreshableVersion="3" recordCount="112" xr:uid="{FDF17657-0617-4604-98F1-E3ABF05B504E}">
  <cacheSource type="worksheet">
    <worksheetSource ref="A1:J113" sheet="Data Analysis Dscr. Stat."/>
  </cacheSource>
  <cacheFields count="10">
    <cacheField name="Product" numFmtId="0">
      <sharedItems count="109">
        <s v="115  Piece+A2:A105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5">
      <sharedItems containsSemiMixedTypes="0" containsString="0" containsNumber="1" containsInteger="1" minValue="38" maxValue="3750"/>
    </cacheField>
    <cacheField name="Old price" numFmtId="165">
      <sharedItems containsSemiMixedTypes="0" containsString="0" containsNumber="1" containsInteger="1" minValue="80" maxValue="6143"/>
    </cacheField>
    <cacheField name="Price Category" numFmtId="164">
      <sharedItems/>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9">
      <sharedItems/>
    </cacheField>
    <cacheField name="Review" numFmtId="0">
      <sharedItems containsMixedTypes="1" containsNumber="1" containsInteger="1" minValue="1" maxValue="69"/>
    </cacheField>
    <cacheField name="Rating" numFmtId="0">
      <sharedItems containsMixedTypes="1" containsNumber="1" minValue="2" maxValue="5"/>
    </cacheField>
    <cacheField name="Rating Category"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93.913573379628" createdVersion="8" refreshedVersion="8" minRefreshableVersion="3" recordCount="112" xr:uid="{0D381894-3362-422D-A9EF-00CB610968A6}">
  <cacheSource type="worksheet">
    <worksheetSource ref="A1:J113" sheet="Trend Analysis Master"/>
  </cacheSource>
  <cacheFields count="10">
    <cacheField name="Product" numFmtId="0">
      <sharedItems count="109">
        <s v="115  Piece+A2:A105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5">
      <sharedItems containsSemiMixedTypes="0" containsString="0" containsNumber="1" containsInteger="1" minValue="38" maxValue="3750"/>
    </cacheField>
    <cacheField name="Old price" numFmtId="165">
      <sharedItems containsSemiMixedTypes="0" containsString="0" containsNumber="1" containsInteger="1" minValue="80" maxValue="6143"/>
    </cacheField>
    <cacheField name="Price Category" numFmtId="164">
      <sharedItems count="3">
        <s v="Low Price"/>
        <s v="Medium Price"/>
        <s v="High Price"/>
      </sharedItems>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9">
      <sharedItems count="3">
        <s v="Medium Discount"/>
        <s v="High Discount"/>
        <s v="Low Discount"/>
      </sharedItems>
    </cacheField>
    <cacheField name="Review" numFmtId="0">
      <sharedItems containsMixedTypes="1" containsNumber="1" containsInteger="1" minValue="1" maxValue="69"/>
    </cacheField>
    <cacheField name="Rating" numFmtId="0">
      <sharedItems containsMixedTypes="1" containsNumber="1" minValue="2" maxValue="5"/>
    </cacheField>
    <cacheField name="Rating Category" numFmtId="0">
      <sharedItems count="4">
        <s v="Average"/>
        <s v="Excellent"/>
        <s v="Unknown"/>
        <s v="Poor"/>
      </sharedItems>
    </cacheField>
  </cacheFields>
  <extLst>
    <ext xmlns:x14="http://schemas.microsoft.com/office/spreadsheetml/2009/9/main" uri="{725AE2AE-9491-48be-B2B4-4EB974FC3084}">
      <x14:pivotCacheDefinition pivotCacheId="7452394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s v="Low Price"/>
    <n v="575"/>
    <n v="0.38"/>
    <x v="0"/>
    <n v="2"/>
    <n v="4.5"/>
    <x v="0"/>
  </r>
  <r>
    <x v="1"/>
    <n v="527"/>
    <n v="999"/>
    <s v="Low Price"/>
    <n v="472"/>
    <n v="0.47"/>
    <x v="1"/>
    <n v="14"/>
    <n v="4.0999999999999996"/>
    <x v="0"/>
  </r>
  <r>
    <x v="2"/>
    <n v="2199"/>
    <n v="2923"/>
    <s v="Medium Price"/>
    <n v="724"/>
    <n v="0.25"/>
    <x v="0"/>
    <n v="24"/>
    <n v="4.5999999999999996"/>
    <x v="1"/>
  </r>
  <r>
    <x v="3"/>
    <n v="1580"/>
    <n v="2499"/>
    <s v="Low Price"/>
    <n v="919"/>
    <n v="0.37"/>
    <x v="0"/>
    <n v="7"/>
    <n v="4.7"/>
    <x v="1"/>
  </r>
  <r>
    <x v="4"/>
    <n v="1740"/>
    <n v="2356"/>
    <s v="Low Price"/>
    <n v="616"/>
    <n v="0.26"/>
    <x v="0"/>
    <n v="5"/>
    <n v="4.8"/>
    <x v="1"/>
  </r>
  <r>
    <x v="5"/>
    <n v="2999"/>
    <n v="3290"/>
    <s v="Medium Price"/>
    <n v="291"/>
    <n v="0.09"/>
    <x v="2"/>
    <n v="15"/>
    <n v="4"/>
    <x v="0"/>
  </r>
  <r>
    <x v="6"/>
    <n v="2319"/>
    <n v="3032"/>
    <s v="Medium Price"/>
    <n v="713"/>
    <n v="0.24"/>
    <x v="0"/>
    <n v="55"/>
    <n v="4.5999999999999996"/>
    <x v="1"/>
  </r>
  <r>
    <x v="7"/>
    <n v="988"/>
    <n v="1580"/>
    <s v="Low Price"/>
    <n v="592"/>
    <n v="0.37"/>
    <x v="0"/>
    <n v="2"/>
    <n v="4"/>
    <x v="0"/>
  </r>
  <r>
    <x v="8"/>
    <n v="1274"/>
    <n v="2800"/>
    <s v="Low Price"/>
    <n v="1526"/>
    <n v="0.55000000000000004"/>
    <x v="1"/>
    <n v="5"/>
    <n v="4.8"/>
    <x v="1"/>
  </r>
  <r>
    <x v="9"/>
    <n v="1600"/>
    <n v="2929"/>
    <s v="Low Price"/>
    <n v="1329"/>
    <n v="0.45"/>
    <x v="1"/>
    <n v="5"/>
    <n v="3.8"/>
    <x v="0"/>
  </r>
  <r>
    <x v="10"/>
    <n v="799"/>
    <n v="999"/>
    <s v="Low Price"/>
    <n v="200"/>
    <n v="0.2"/>
    <x v="0"/>
    <n v="12"/>
    <n v="4.0999999999999996"/>
    <x v="0"/>
  </r>
  <r>
    <x v="11"/>
    <n v="990"/>
    <n v="1500"/>
    <s v="Low Price"/>
    <n v="510"/>
    <n v="0.34"/>
    <x v="0"/>
    <n v="39"/>
    <n v="4.7"/>
    <x v="1"/>
  </r>
  <r>
    <x v="12"/>
    <n v="552"/>
    <n v="1035"/>
    <s v="Low Price"/>
    <n v="483"/>
    <n v="0.47"/>
    <x v="1"/>
    <n v="12"/>
    <n v="4.8"/>
    <x v="1"/>
  </r>
  <r>
    <x v="13"/>
    <n v="501"/>
    <n v="860"/>
    <s v="Low Price"/>
    <n v="359"/>
    <n v="0.42"/>
    <x v="1"/>
    <n v="6"/>
    <n v="4.5"/>
    <x v="0"/>
  </r>
  <r>
    <x v="14"/>
    <n v="1680"/>
    <n v="2499"/>
    <s v="Low Price"/>
    <n v="819"/>
    <n v="0.33"/>
    <x v="0"/>
    <n v="9"/>
    <n v="4.2"/>
    <x v="0"/>
  </r>
  <r>
    <x v="15"/>
    <n v="332"/>
    <n v="684"/>
    <s v="Low Price"/>
    <n v="352"/>
    <n v="0.51"/>
    <x v="1"/>
    <n v="2"/>
    <n v="5"/>
    <x v="1"/>
  </r>
  <r>
    <x v="16"/>
    <n v="195"/>
    <n v="360"/>
    <s v="Low Price"/>
    <n v="165"/>
    <n v="0.46"/>
    <x v="1"/>
    <n v="2"/>
    <n v="5"/>
    <x v="1"/>
  </r>
  <r>
    <x v="17"/>
    <n v="2025"/>
    <n v="3971"/>
    <s v="Medium Price"/>
    <n v="1946"/>
    <n v="0.49"/>
    <x v="1"/>
    <n v="3"/>
    <n v="5"/>
    <x v="1"/>
  </r>
  <r>
    <x v="18"/>
    <n v="2999"/>
    <n v="3699"/>
    <s v="Medium Price"/>
    <n v="700"/>
    <n v="0.19"/>
    <x v="2"/>
    <n v="5"/>
    <n v="4.5999999999999996"/>
    <x v="1"/>
  </r>
  <r>
    <x v="19"/>
    <n v="998"/>
    <n v="1966"/>
    <s v="Low Price"/>
    <n v="968"/>
    <n v="0.49"/>
    <x v="1"/>
    <n v="44"/>
    <n v="4.5999999999999996"/>
    <x v="1"/>
  </r>
  <r>
    <x v="20"/>
    <n v="38"/>
    <n v="80"/>
    <s v="Low Price"/>
    <n v="42"/>
    <n v="0.53"/>
    <x v="1"/>
    <n v="13"/>
    <n v="3.3"/>
    <x v="0"/>
  </r>
  <r>
    <x v="21"/>
    <n v="1860"/>
    <n v="3220"/>
    <s v="Low Price"/>
    <n v="1360"/>
    <n v="0.42"/>
    <x v="1"/>
    <s v="Unknown"/>
    <s v="Unknown"/>
    <x v="2"/>
  </r>
  <r>
    <x v="22"/>
    <n v="880"/>
    <n v="1350"/>
    <s v="Low Price"/>
    <n v="470"/>
    <n v="0.35"/>
    <x v="0"/>
    <n v="6"/>
    <n v="4"/>
    <x v="0"/>
  </r>
  <r>
    <x v="23"/>
    <n v="1650"/>
    <n v="2150"/>
    <s v="Low Price"/>
    <n v="500"/>
    <n v="0.23"/>
    <x v="0"/>
    <n v="14"/>
    <n v="4.4000000000000004"/>
    <x v="0"/>
  </r>
  <r>
    <x v="24"/>
    <n v="2048"/>
    <n v="4500"/>
    <s v="Medium Price"/>
    <n v="2452"/>
    <n v="0.54"/>
    <x v="1"/>
    <n v="7"/>
    <n v="4.3"/>
    <x v="0"/>
  </r>
  <r>
    <x v="25"/>
    <n v="420"/>
    <n v="647"/>
    <s v="Low Price"/>
    <n v="227"/>
    <n v="0.35"/>
    <x v="0"/>
    <n v="49"/>
    <n v="4.5999999999999996"/>
    <x v="1"/>
  </r>
  <r>
    <x v="26"/>
    <n v="2880"/>
    <n v="3520"/>
    <s v="Medium Price"/>
    <n v="640"/>
    <n v="0.18"/>
    <x v="2"/>
    <n v="12"/>
    <n v="3.8"/>
    <x v="0"/>
  </r>
  <r>
    <x v="27"/>
    <n v="1350"/>
    <n v="1990"/>
    <s v="Low Price"/>
    <n v="640"/>
    <n v="0.32"/>
    <x v="0"/>
    <n v="13"/>
    <n v="3.8"/>
    <x v="0"/>
  </r>
  <r>
    <x v="28"/>
    <n v="1758"/>
    <n v="2499"/>
    <s v="Low Price"/>
    <n v="741"/>
    <n v="0.3"/>
    <x v="0"/>
    <n v="20"/>
    <n v="4.0999999999999996"/>
    <x v="0"/>
  </r>
  <r>
    <x v="29"/>
    <n v="2200"/>
    <n v="4080"/>
    <s v="Medium Price"/>
    <n v="1880"/>
    <n v="0.46"/>
    <x v="1"/>
    <s v="Unknown"/>
    <s v="Unknown"/>
    <x v="2"/>
  </r>
  <r>
    <x v="30"/>
    <n v="185"/>
    <n v="382"/>
    <s v="Low Price"/>
    <n v="197"/>
    <n v="0.52"/>
    <x v="1"/>
    <n v="9"/>
    <n v="4.3"/>
    <x v="0"/>
  </r>
  <r>
    <x v="31"/>
    <n v="980"/>
    <n v="1490"/>
    <s v="Low Price"/>
    <n v="510"/>
    <n v="0.34"/>
    <x v="0"/>
    <n v="12"/>
    <n v="4.7"/>
    <x v="1"/>
  </r>
  <r>
    <x v="32"/>
    <n v="1820"/>
    <n v="3490"/>
    <s v="Low Price"/>
    <n v="1670"/>
    <n v="0.48"/>
    <x v="1"/>
    <n v="9"/>
    <n v="4.3"/>
    <x v="0"/>
  </r>
  <r>
    <x v="33"/>
    <n v="1940"/>
    <n v="2650"/>
    <s v="Low Price"/>
    <n v="710"/>
    <n v="0.27"/>
    <x v="0"/>
    <n v="20"/>
    <n v="4.7"/>
    <x v="1"/>
  </r>
  <r>
    <x v="34"/>
    <n v="1980"/>
    <n v="2699"/>
    <s v="Low Price"/>
    <n v="719"/>
    <n v="0.27"/>
    <x v="0"/>
    <n v="32"/>
    <n v="4.5"/>
    <x v="0"/>
  </r>
  <r>
    <x v="35"/>
    <n v="1620"/>
    <n v="2690"/>
    <s v="Low Price"/>
    <n v="1070"/>
    <n v="0.4"/>
    <x v="0"/>
    <n v="1"/>
    <n v="5"/>
    <x v="1"/>
  </r>
  <r>
    <x v="36"/>
    <n v="171"/>
    <n v="360"/>
    <s v="Low Price"/>
    <n v="189"/>
    <n v="0.53"/>
    <x v="1"/>
    <n v="2"/>
    <n v="5"/>
    <x v="1"/>
  </r>
  <r>
    <x v="37"/>
    <n v="389"/>
    <n v="656"/>
    <s v="Low Price"/>
    <n v="267"/>
    <n v="0.41"/>
    <x v="1"/>
    <n v="36"/>
    <n v="4.3"/>
    <x v="0"/>
  </r>
  <r>
    <x v="38"/>
    <n v="1800"/>
    <n v="2700"/>
    <s v="Low Price"/>
    <n v="900"/>
    <n v="0.38"/>
    <x v="0"/>
    <n v="2"/>
    <n v="4.5"/>
    <x v="0"/>
  </r>
  <r>
    <x v="39"/>
    <n v="2750"/>
    <n v="4471"/>
    <s v="Medium Price"/>
    <n v="1721"/>
    <n v="0.38"/>
    <x v="0"/>
    <s v="Unknown"/>
    <s v="Unknown"/>
    <x v="2"/>
  </r>
  <r>
    <x v="40"/>
    <n v="475"/>
    <n v="931"/>
    <s v="Low Price"/>
    <n v="456"/>
    <n v="0.49"/>
    <x v="1"/>
    <s v="Unknown"/>
    <s v="Unknown"/>
    <x v="2"/>
  </r>
  <r>
    <x v="41"/>
    <n v="238"/>
    <n v="476"/>
    <s v="Low Price"/>
    <n v="238"/>
    <n v="0.5"/>
    <x v="1"/>
    <s v="Unknown"/>
    <s v="Unknown"/>
    <x v="2"/>
  </r>
  <r>
    <x v="42"/>
    <n v="610"/>
    <n v="1060"/>
    <s v="Low Price"/>
    <n v="450"/>
    <n v="0.42"/>
    <x v="1"/>
    <s v="Unknown"/>
    <s v="Unknown"/>
    <x v="2"/>
  </r>
  <r>
    <x v="43"/>
    <n v="2132"/>
    <n v="2169"/>
    <s v="Medium Price"/>
    <n v="37"/>
    <n v="0.02"/>
    <x v="2"/>
    <s v="Unknown"/>
    <s v="Unknown"/>
    <x v="2"/>
  </r>
  <r>
    <x v="44"/>
    <n v="999"/>
    <n v="2000"/>
    <s v="Low Price"/>
    <n v="1001"/>
    <n v="0.5"/>
    <x v="1"/>
    <s v="Unknown"/>
    <s v="Unknown"/>
    <x v="2"/>
  </r>
  <r>
    <x v="45"/>
    <n v="1190"/>
    <n v="1785"/>
    <s v="Low Price"/>
    <n v="595"/>
    <n v="0.33"/>
    <x v="0"/>
    <s v="Unknown"/>
    <s v="Unknown"/>
    <x v="2"/>
  </r>
  <r>
    <x v="46"/>
    <n v="671"/>
    <n v="1316"/>
    <s v="Low Price"/>
    <n v="645"/>
    <n v="0.49"/>
    <x v="1"/>
    <s v="Unknown"/>
    <s v="Unknown"/>
    <x v="2"/>
  </r>
  <r>
    <x v="47"/>
    <n v="1200"/>
    <n v="1950"/>
    <s v="Low Price"/>
    <n v="750"/>
    <n v="0.38"/>
    <x v="0"/>
    <s v="Unknown"/>
    <s v="Unknown"/>
    <x v="2"/>
  </r>
  <r>
    <x v="48"/>
    <n v="199"/>
    <n v="504"/>
    <s v="Low Price"/>
    <n v="305"/>
    <n v="0.61"/>
    <x v="1"/>
    <s v="Unknown"/>
    <s v="Unknown"/>
    <x v="2"/>
  </r>
  <r>
    <x v="49"/>
    <n v="299"/>
    <n v="600"/>
    <s v="Low Price"/>
    <n v="301"/>
    <n v="0.5"/>
    <x v="1"/>
    <s v="Unknown"/>
    <s v="Unknown"/>
    <x v="2"/>
  </r>
  <r>
    <x v="50"/>
    <n v="1660"/>
    <n v="1699"/>
    <s v="Low Price"/>
    <n v="39"/>
    <n v="0.02"/>
    <x v="2"/>
    <s v="Unknown"/>
    <s v="Unknown"/>
    <x v="2"/>
  </r>
  <r>
    <x v="51"/>
    <n v="299"/>
    <n v="384"/>
    <s v="Low Price"/>
    <n v="85"/>
    <n v="0.22"/>
    <x v="0"/>
    <s v="Unknown"/>
    <s v="Unknown"/>
    <x v="2"/>
  </r>
  <r>
    <x v="52"/>
    <n v="1459"/>
    <n v="1499"/>
    <s v="Low Price"/>
    <n v="40"/>
    <n v="0.03"/>
    <x v="2"/>
    <s v="Unknown"/>
    <s v="Unknown"/>
    <x v="2"/>
  </r>
  <r>
    <x v="53"/>
    <n v="799"/>
    <n v="1343"/>
    <s v="Low Price"/>
    <n v="544"/>
    <n v="0.41"/>
    <x v="1"/>
    <s v="Unknown"/>
    <s v="Unknown"/>
    <x v="2"/>
  </r>
  <r>
    <x v="54"/>
    <n v="499"/>
    <n v="900"/>
    <s v="Low Price"/>
    <n v="401"/>
    <n v="0.45"/>
    <x v="1"/>
    <s v="Unknown"/>
    <s v="Unknown"/>
    <x v="2"/>
  </r>
  <r>
    <x v="55"/>
    <n v="699"/>
    <n v="1343"/>
    <s v="Low Price"/>
    <n v="644"/>
    <n v="0.48"/>
    <x v="1"/>
    <s v="Unknown"/>
    <s v="Unknown"/>
    <x v="2"/>
  </r>
  <r>
    <x v="56"/>
    <n v="799"/>
    <n v="1567"/>
    <s v="Low Price"/>
    <n v="768"/>
    <n v="0.49"/>
    <x v="1"/>
    <s v="Unknown"/>
    <s v="Unknown"/>
    <x v="2"/>
  </r>
  <r>
    <x v="57"/>
    <n v="2799"/>
    <n v="3810"/>
    <s v="Medium Price"/>
    <n v="1011"/>
    <n v="0.27"/>
    <x v="0"/>
    <s v="Unknown"/>
    <s v="Unknown"/>
    <x v="2"/>
  </r>
  <r>
    <x v="54"/>
    <n v="399"/>
    <n v="896"/>
    <s v="Low Price"/>
    <n v="497"/>
    <n v="0.55000000000000004"/>
    <x v="1"/>
    <s v="Unknown"/>
    <s v="Unknown"/>
    <x v="2"/>
  </r>
  <r>
    <x v="58"/>
    <n v="2170"/>
    <n v="2500"/>
    <s v="Medium Price"/>
    <n v="330"/>
    <n v="0.13"/>
    <x v="2"/>
    <n v="6"/>
    <n v="2.5"/>
    <x v="3"/>
  </r>
  <r>
    <x v="59"/>
    <n v="458"/>
    <n v="986"/>
    <s v="Low Price"/>
    <n v="528"/>
    <n v="0.54"/>
    <x v="1"/>
    <n v="10"/>
    <n v="3"/>
    <x v="0"/>
  </r>
  <r>
    <x v="60"/>
    <n v="2115"/>
    <n v="4700"/>
    <s v="Medium Price"/>
    <n v="2585"/>
    <n v="0.55000000000000004"/>
    <x v="1"/>
    <n v="13"/>
    <n v="2.1"/>
    <x v="3"/>
  </r>
  <r>
    <x v="61"/>
    <n v="445"/>
    <n v="873"/>
    <s v="Low Price"/>
    <n v="428"/>
    <n v="0.49"/>
    <x v="1"/>
    <n v="69"/>
    <n v="2.8"/>
    <x v="3"/>
  </r>
  <r>
    <x v="62"/>
    <n v="325"/>
    <n v="680"/>
    <s v="Low Price"/>
    <n v="355"/>
    <n v="0.52"/>
    <x v="1"/>
    <n v="15"/>
    <n v="2.7"/>
    <x v="3"/>
  </r>
  <r>
    <x v="63"/>
    <n v="1220"/>
    <n v="1555"/>
    <s v="Low Price"/>
    <n v="335"/>
    <n v="0.22"/>
    <x v="0"/>
    <n v="16"/>
    <n v="2.9"/>
    <x v="3"/>
  </r>
  <r>
    <x v="64"/>
    <n v="990"/>
    <n v="1814"/>
    <s v="Low Price"/>
    <n v="824"/>
    <n v="0.45"/>
    <x v="1"/>
    <n v="6"/>
    <n v="2.2000000000000002"/>
    <x v="3"/>
  </r>
  <r>
    <x v="65"/>
    <n v="1000"/>
    <n v="2000"/>
    <s v="Low Price"/>
    <n v="1000"/>
    <n v="0.5"/>
    <x v="1"/>
    <n v="7"/>
    <n v="2.2999999999999998"/>
    <x v="3"/>
  </r>
  <r>
    <x v="66"/>
    <n v="3750"/>
    <n v="6143"/>
    <s v="High Price"/>
    <n v="2393"/>
    <n v="0.39"/>
    <x v="0"/>
    <n v="5"/>
    <n v="3"/>
    <x v="0"/>
  </r>
  <r>
    <x v="67"/>
    <n v="382"/>
    <n v="700"/>
    <s v="Low Price"/>
    <n v="318"/>
    <n v="0.45"/>
    <x v="1"/>
    <n v="17"/>
    <n v="2.6"/>
    <x v="3"/>
  </r>
  <r>
    <x v="68"/>
    <n v="2300"/>
    <n v="3240"/>
    <s v="Medium Price"/>
    <n v="940"/>
    <n v="0.28999999999999998"/>
    <x v="0"/>
    <n v="5"/>
    <n v="3"/>
    <x v="0"/>
  </r>
  <r>
    <x v="69"/>
    <n v="345"/>
    <n v="602"/>
    <s v="Low Price"/>
    <n v="257"/>
    <n v="0.43"/>
    <x v="1"/>
    <n v="6"/>
    <n v="2.2999999999999998"/>
    <x v="3"/>
  </r>
  <r>
    <x v="70"/>
    <n v="509"/>
    <n v="899"/>
    <s v="Low Price"/>
    <n v="390"/>
    <n v="0.43"/>
    <x v="1"/>
    <n v="5"/>
    <n v="3"/>
    <x v="0"/>
  </r>
  <r>
    <x v="71"/>
    <n v="968"/>
    <n v="1814"/>
    <s v="Low Price"/>
    <n v="846"/>
    <n v="0.47"/>
    <x v="1"/>
    <n v="6"/>
    <n v="2.2000000000000002"/>
    <x v="3"/>
  </r>
  <r>
    <x v="72"/>
    <n v="1570"/>
    <n v="2988"/>
    <s v="Low Price"/>
    <n v="1418"/>
    <n v="0.47"/>
    <x v="1"/>
    <n v="7"/>
    <n v="2.1"/>
    <x v="3"/>
  </r>
  <r>
    <x v="73"/>
    <n v="790"/>
    <n v="1485"/>
    <s v="Low Price"/>
    <n v="695"/>
    <n v="0.47"/>
    <x v="1"/>
    <s v="Unknown"/>
    <s v="Unknown"/>
    <x v="2"/>
  </r>
  <r>
    <x v="74"/>
    <n v="690"/>
    <n v="1200"/>
    <s v="Low Price"/>
    <n v="510"/>
    <n v="0.43"/>
    <x v="1"/>
    <s v="Unknown"/>
    <s v="Unknown"/>
    <x v="2"/>
  </r>
  <r>
    <x v="75"/>
    <n v="1732"/>
    <n v="1799"/>
    <s v="Low Price"/>
    <n v="67"/>
    <n v="0.04"/>
    <x v="2"/>
    <s v="Unknown"/>
    <s v="Unknown"/>
    <x v="2"/>
  </r>
  <r>
    <x v="76"/>
    <n v="230"/>
    <n v="450"/>
    <s v="Low Price"/>
    <n v="220"/>
    <n v="0.49"/>
    <x v="1"/>
    <s v="Unknown"/>
    <s v="Unknown"/>
    <x v="2"/>
  </r>
  <r>
    <x v="77"/>
    <n v="1189"/>
    <n v="2199"/>
    <s v="Low Price"/>
    <n v="1010"/>
    <n v="0.46"/>
    <x v="1"/>
    <n v="1"/>
    <n v="3"/>
    <x v="0"/>
  </r>
  <r>
    <x v="78"/>
    <n v="979"/>
    <n v="1920"/>
    <s v="Low Price"/>
    <n v="941"/>
    <n v="0.49"/>
    <x v="1"/>
    <n v="1"/>
    <n v="5"/>
    <x v="1"/>
  </r>
  <r>
    <x v="79"/>
    <n v="1460"/>
    <n v="2290"/>
    <s v="Low Price"/>
    <n v="830"/>
    <n v="0.36"/>
    <x v="0"/>
    <s v="Unknown"/>
    <s v="Unknown"/>
    <x v="2"/>
  </r>
  <r>
    <x v="80"/>
    <n v="1666"/>
    <n v="1699"/>
    <s v="Low Price"/>
    <n v="33"/>
    <n v="0.02"/>
    <x v="2"/>
    <s v="Unknown"/>
    <s v="Unknown"/>
    <x v="2"/>
  </r>
  <r>
    <x v="81"/>
    <n v="330"/>
    <n v="647"/>
    <s v="Low Price"/>
    <n v="317"/>
    <n v="0.49"/>
    <x v="1"/>
    <n v="1"/>
    <n v="4"/>
    <x v="0"/>
  </r>
  <r>
    <x v="48"/>
    <n v="176"/>
    <n v="345"/>
    <s v="Low Price"/>
    <n v="169"/>
    <n v="0.49"/>
    <x v="1"/>
    <s v="Unknown"/>
    <s v="Unknown"/>
    <x v="2"/>
  </r>
  <r>
    <x v="82"/>
    <n v="1466"/>
    <n v="1699"/>
    <s v="Low Price"/>
    <n v="233"/>
    <n v="0.14000000000000001"/>
    <x v="2"/>
    <s v="Unknown"/>
    <s v="Unknown"/>
    <x v="2"/>
  </r>
  <r>
    <x v="83"/>
    <n v="274"/>
    <n v="537"/>
    <s v="Low Price"/>
    <n v="263"/>
    <n v="0.49"/>
    <x v="1"/>
    <s v="Unknown"/>
    <s v="Unknown"/>
    <x v="2"/>
  </r>
  <r>
    <x v="84"/>
    <n v="799"/>
    <n v="900"/>
    <s v="Low Price"/>
    <n v="101"/>
    <n v="0.11"/>
    <x v="2"/>
    <s v="Unknown"/>
    <s v="Unknown"/>
    <x v="2"/>
  </r>
  <r>
    <x v="56"/>
    <n v="657"/>
    <n v="1288"/>
    <s v="Low Price"/>
    <n v="631"/>
    <n v="0.49"/>
    <x v="1"/>
    <s v="Unknown"/>
    <s v="Unknown"/>
    <x v="2"/>
  </r>
  <r>
    <x v="85"/>
    <n v="1468"/>
    <n v="1699"/>
    <s v="Low Price"/>
    <n v="231"/>
    <n v="0.14000000000000001"/>
    <x v="2"/>
    <s v="Unknown"/>
    <s v="Unknown"/>
    <x v="2"/>
  </r>
  <r>
    <x v="86"/>
    <n v="630"/>
    <n v="1100"/>
    <s v="Low Price"/>
    <n v="470"/>
    <n v="0.43"/>
    <x v="1"/>
    <s v="Unknown"/>
    <s v="Unknown"/>
    <x v="2"/>
  </r>
  <r>
    <x v="87"/>
    <n v="850"/>
    <n v="1700"/>
    <s v="Low Price"/>
    <n v="850"/>
    <n v="0.5"/>
    <x v="1"/>
    <s v="Unknown"/>
    <s v="Unknown"/>
    <x v="2"/>
  </r>
  <r>
    <x v="88"/>
    <n v="1300"/>
    <n v="2500"/>
    <s v="Low Price"/>
    <n v="1200"/>
    <n v="0.48"/>
    <x v="1"/>
    <s v="Unknown"/>
    <s v="Unknown"/>
    <x v="2"/>
  </r>
  <r>
    <x v="89"/>
    <n v="105"/>
    <n v="200"/>
    <s v="Low Price"/>
    <n v="95"/>
    <n v="0.48"/>
    <x v="1"/>
    <s v="Unknown"/>
    <s v="Unknown"/>
    <x v="2"/>
  </r>
  <r>
    <x v="90"/>
    <n v="899"/>
    <n v="1699"/>
    <s v="Low Price"/>
    <n v="800"/>
    <n v="0.47"/>
    <x v="1"/>
    <s v="Unknown"/>
    <s v="Unknown"/>
    <x v="2"/>
  </r>
  <r>
    <x v="91"/>
    <n v="1200"/>
    <n v="2400"/>
    <s v="Low Price"/>
    <n v="1200"/>
    <n v="0.5"/>
    <x v="1"/>
    <s v="Unknown"/>
    <s v="Unknown"/>
    <x v="2"/>
  </r>
  <r>
    <x v="92"/>
    <n v="1526"/>
    <n v="1660"/>
    <s v="Low Price"/>
    <n v="134"/>
    <n v="0.08"/>
    <x v="2"/>
    <s v="Unknown"/>
    <s v="Unknown"/>
    <x v="2"/>
  </r>
  <r>
    <x v="93"/>
    <n v="1462"/>
    <n v="1499"/>
    <s v="Low Price"/>
    <n v="37"/>
    <n v="0.02"/>
    <x v="2"/>
    <s v="Unknown"/>
    <s v="Unknown"/>
    <x v="2"/>
  </r>
  <r>
    <x v="94"/>
    <n v="248"/>
    <n v="486"/>
    <s v="Low Price"/>
    <n v="238"/>
    <n v="0.49"/>
    <x v="1"/>
    <s v="Unknown"/>
    <s v="Unknown"/>
    <x v="2"/>
  </r>
  <r>
    <x v="95"/>
    <n v="3546"/>
    <n v="3699"/>
    <s v="High Price"/>
    <n v="153"/>
    <n v="0.04"/>
    <x v="2"/>
    <s v="Unknown"/>
    <s v="Unknown"/>
    <x v="2"/>
  </r>
  <r>
    <x v="96"/>
    <n v="525"/>
    <n v="1029"/>
    <s v="Low Price"/>
    <n v="504"/>
    <n v="0.49"/>
    <x v="1"/>
    <s v="Unknown"/>
    <s v="Unknown"/>
    <x v="2"/>
  </r>
  <r>
    <x v="97"/>
    <n v="1080"/>
    <n v="1874"/>
    <s v="Low Price"/>
    <n v="794"/>
    <n v="0.42"/>
    <x v="1"/>
    <s v="Unknown"/>
    <s v="Unknown"/>
    <x v="2"/>
  </r>
  <r>
    <x v="98"/>
    <n v="3640"/>
    <n v="4588"/>
    <s v="High Price"/>
    <n v="948"/>
    <n v="0.21"/>
    <x v="0"/>
    <n v="1"/>
    <n v="5"/>
    <x v="1"/>
  </r>
  <r>
    <x v="99"/>
    <n v="1420"/>
    <n v="2420"/>
    <s v="Low Price"/>
    <n v="1000"/>
    <n v="0.41"/>
    <x v="1"/>
    <s v="Unknown"/>
    <s v="Unknown"/>
    <x v="2"/>
  </r>
  <r>
    <x v="100"/>
    <n v="1875"/>
    <n v="1899"/>
    <s v="Low Price"/>
    <n v="24"/>
    <n v="0.01"/>
    <x v="2"/>
    <s v="Unknown"/>
    <s v="Unknown"/>
    <x v="2"/>
  </r>
  <r>
    <x v="101"/>
    <n v="198"/>
    <n v="260"/>
    <s v="Low Price"/>
    <n v="62"/>
    <n v="0.24"/>
    <x v="0"/>
    <s v="Unknown"/>
    <s v="Unknown"/>
    <x v="2"/>
  </r>
  <r>
    <x v="102"/>
    <n v="1150"/>
    <n v="1737"/>
    <s v="Low Price"/>
    <n v="587"/>
    <n v="0.34"/>
    <x v="0"/>
    <s v="Unknown"/>
    <s v="Unknown"/>
    <x v="2"/>
  </r>
  <r>
    <x v="103"/>
    <n v="1190"/>
    <n v="1810"/>
    <s v="Low Price"/>
    <n v="620"/>
    <n v="0.34"/>
    <x v="0"/>
    <s v="Unknown"/>
    <s v="Unknown"/>
    <x v="2"/>
  </r>
  <r>
    <x v="104"/>
    <n v="1658"/>
    <n v="1699"/>
    <s v="Low Price"/>
    <n v="41"/>
    <n v="0.02"/>
    <x v="2"/>
    <s v="Unknown"/>
    <s v="Unknown"/>
    <x v="2"/>
  </r>
  <r>
    <x v="105"/>
    <n v="1768"/>
    <n v="1799"/>
    <s v="Low Price"/>
    <n v="31"/>
    <n v="0.02"/>
    <x v="2"/>
    <s v="Unknown"/>
    <s v="Unknown"/>
    <x v="2"/>
  </r>
  <r>
    <x v="106"/>
    <n v="199"/>
    <n v="553"/>
    <s v="Low Price"/>
    <n v="354"/>
    <n v="0.64"/>
    <x v="1"/>
    <s v="Unknown"/>
    <s v="Unknown"/>
    <x v="2"/>
  </r>
  <r>
    <x v="107"/>
    <n v="450"/>
    <n v="900"/>
    <s v="Low Price"/>
    <n v="450"/>
    <n v="0.5"/>
    <x v="1"/>
    <n v="1"/>
    <n v="2"/>
    <x v="3"/>
  </r>
  <r>
    <x v="108"/>
    <n v="169"/>
    <n v="320"/>
    <s v="Low Price"/>
    <n v="151"/>
    <n v="0.47"/>
    <x v="1"/>
    <s v="Unknown"/>
    <s v="Unknown"/>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s v="Low Price"/>
    <n v="575"/>
    <x v="0"/>
    <x v="0"/>
    <x v="0"/>
    <x v="0"/>
    <x v="0"/>
  </r>
  <r>
    <x v="1"/>
    <n v="527"/>
    <n v="999"/>
    <s v="Low Price"/>
    <n v="472"/>
    <x v="1"/>
    <x v="1"/>
    <x v="1"/>
    <x v="1"/>
    <x v="0"/>
  </r>
  <r>
    <x v="2"/>
    <n v="2199"/>
    <n v="2923"/>
    <s v="Medium Price"/>
    <n v="724"/>
    <x v="2"/>
    <x v="0"/>
    <x v="2"/>
    <x v="2"/>
    <x v="1"/>
  </r>
  <r>
    <x v="3"/>
    <n v="1580"/>
    <n v="2499"/>
    <s v="Low Price"/>
    <n v="919"/>
    <x v="3"/>
    <x v="0"/>
    <x v="3"/>
    <x v="3"/>
    <x v="1"/>
  </r>
  <r>
    <x v="4"/>
    <n v="1740"/>
    <n v="2356"/>
    <s v="Low Price"/>
    <n v="616"/>
    <x v="4"/>
    <x v="0"/>
    <x v="4"/>
    <x v="4"/>
    <x v="1"/>
  </r>
  <r>
    <x v="5"/>
    <n v="2999"/>
    <n v="3290"/>
    <s v="Medium Price"/>
    <n v="291"/>
    <x v="5"/>
    <x v="2"/>
    <x v="5"/>
    <x v="5"/>
    <x v="0"/>
  </r>
  <r>
    <x v="6"/>
    <n v="2319"/>
    <n v="3032"/>
    <s v="Medium Price"/>
    <n v="713"/>
    <x v="6"/>
    <x v="0"/>
    <x v="6"/>
    <x v="2"/>
    <x v="1"/>
  </r>
  <r>
    <x v="7"/>
    <n v="988"/>
    <n v="1580"/>
    <s v="Low Price"/>
    <n v="592"/>
    <x v="3"/>
    <x v="0"/>
    <x v="0"/>
    <x v="5"/>
    <x v="0"/>
  </r>
  <r>
    <x v="8"/>
    <n v="1274"/>
    <n v="2800"/>
    <s v="Low Price"/>
    <n v="1526"/>
    <x v="7"/>
    <x v="1"/>
    <x v="4"/>
    <x v="4"/>
    <x v="1"/>
  </r>
  <r>
    <x v="9"/>
    <n v="1600"/>
    <n v="2929"/>
    <s v="Low Price"/>
    <n v="1329"/>
    <x v="8"/>
    <x v="1"/>
    <x v="4"/>
    <x v="6"/>
    <x v="0"/>
  </r>
  <r>
    <x v="10"/>
    <n v="799"/>
    <n v="999"/>
    <s v="Low Price"/>
    <n v="200"/>
    <x v="9"/>
    <x v="0"/>
    <x v="7"/>
    <x v="1"/>
    <x v="0"/>
  </r>
  <r>
    <x v="11"/>
    <n v="990"/>
    <n v="1500"/>
    <s v="Low Price"/>
    <n v="510"/>
    <x v="10"/>
    <x v="0"/>
    <x v="8"/>
    <x v="3"/>
    <x v="1"/>
  </r>
  <r>
    <x v="12"/>
    <n v="552"/>
    <n v="1035"/>
    <s v="Low Price"/>
    <n v="483"/>
    <x v="1"/>
    <x v="1"/>
    <x v="7"/>
    <x v="4"/>
    <x v="1"/>
  </r>
  <r>
    <x v="13"/>
    <n v="501"/>
    <n v="860"/>
    <s v="Low Price"/>
    <n v="359"/>
    <x v="11"/>
    <x v="1"/>
    <x v="9"/>
    <x v="0"/>
    <x v="0"/>
  </r>
  <r>
    <x v="14"/>
    <n v="1680"/>
    <n v="2499"/>
    <s v="Low Price"/>
    <n v="819"/>
    <x v="12"/>
    <x v="0"/>
    <x v="10"/>
    <x v="7"/>
    <x v="0"/>
  </r>
  <r>
    <x v="15"/>
    <n v="332"/>
    <n v="684"/>
    <s v="Low Price"/>
    <n v="352"/>
    <x v="13"/>
    <x v="1"/>
    <x v="0"/>
    <x v="8"/>
    <x v="1"/>
  </r>
  <r>
    <x v="16"/>
    <n v="195"/>
    <n v="360"/>
    <s v="Low Price"/>
    <n v="165"/>
    <x v="14"/>
    <x v="1"/>
    <x v="0"/>
    <x v="8"/>
    <x v="1"/>
  </r>
  <r>
    <x v="17"/>
    <n v="2025"/>
    <n v="3971"/>
    <s v="Medium Price"/>
    <n v="1946"/>
    <x v="15"/>
    <x v="1"/>
    <x v="11"/>
    <x v="8"/>
    <x v="1"/>
  </r>
  <r>
    <x v="18"/>
    <n v="2999"/>
    <n v="3699"/>
    <s v="Medium Price"/>
    <n v="700"/>
    <x v="16"/>
    <x v="2"/>
    <x v="4"/>
    <x v="2"/>
    <x v="1"/>
  </r>
  <r>
    <x v="19"/>
    <n v="998"/>
    <n v="1966"/>
    <s v="Low Price"/>
    <n v="968"/>
    <x v="15"/>
    <x v="1"/>
    <x v="12"/>
    <x v="2"/>
    <x v="1"/>
  </r>
  <r>
    <x v="20"/>
    <n v="38"/>
    <n v="80"/>
    <s v="Low Price"/>
    <n v="42"/>
    <x v="17"/>
    <x v="1"/>
    <x v="13"/>
    <x v="9"/>
    <x v="0"/>
  </r>
  <r>
    <x v="21"/>
    <n v="1860"/>
    <n v="3220"/>
    <s v="Low Price"/>
    <n v="1360"/>
    <x v="11"/>
    <x v="1"/>
    <x v="14"/>
    <x v="10"/>
    <x v="2"/>
  </r>
  <r>
    <x v="22"/>
    <n v="880"/>
    <n v="1350"/>
    <s v="Low Price"/>
    <n v="470"/>
    <x v="18"/>
    <x v="0"/>
    <x v="9"/>
    <x v="5"/>
    <x v="0"/>
  </r>
  <r>
    <x v="23"/>
    <n v="1650"/>
    <n v="2150"/>
    <s v="Low Price"/>
    <n v="500"/>
    <x v="19"/>
    <x v="0"/>
    <x v="1"/>
    <x v="11"/>
    <x v="0"/>
  </r>
  <r>
    <x v="24"/>
    <n v="2048"/>
    <n v="4500"/>
    <s v="Medium Price"/>
    <n v="2452"/>
    <x v="20"/>
    <x v="1"/>
    <x v="3"/>
    <x v="12"/>
    <x v="0"/>
  </r>
  <r>
    <x v="25"/>
    <n v="420"/>
    <n v="647"/>
    <s v="Low Price"/>
    <n v="227"/>
    <x v="18"/>
    <x v="0"/>
    <x v="15"/>
    <x v="2"/>
    <x v="1"/>
  </r>
  <r>
    <x v="26"/>
    <n v="2880"/>
    <n v="3520"/>
    <s v="Medium Price"/>
    <n v="640"/>
    <x v="21"/>
    <x v="2"/>
    <x v="7"/>
    <x v="6"/>
    <x v="0"/>
  </r>
  <r>
    <x v="27"/>
    <n v="1350"/>
    <n v="1990"/>
    <s v="Low Price"/>
    <n v="640"/>
    <x v="22"/>
    <x v="0"/>
    <x v="13"/>
    <x v="6"/>
    <x v="0"/>
  </r>
  <r>
    <x v="28"/>
    <n v="1758"/>
    <n v="2499"/>
    <s v="Low Price"/>
    <n v="741"/>
    <x v="23"/>
    <x v="0"/>
    <x v="16"/>
    <x v="1"/>
    <x v="0"/>
  </r>
  <r>
    <x v="29"/>
    <n v="2200"/>
    <n v="4080"/>
    <s v="Medium Price"/>
    <n v="1880"/>
    <x v="14"/>
    <x v="1"/>
    <x v="14"/>
    <x v="10"/>
    <x v="2"/>
  </r>
  <r>
    <x v="30"/>
    <n v="185"/>
    <n v="382"/>
    <s v="Low Price"/>
    <n v="197"/>
    <x v="24"/>
    <x v="1"/>
    <x v="10"/>
    <x v="12"/>
    <x v="0"/>
  </r>
  <r>
    <x v="31"/>
    <n v="980"/>
    <n v="1490"/>
    <s v="Low Price"/>
    <n v="510"/>
    <x v="10"/>
    <x v="0"/>
    <x v="7"/>
    <x v="3"/>
    <x v="1"/>
  </r>
  <r>
    <x v="32"/>
    <n v="1820"/>
    <n v="3490"/>
    <s v="Low Price"/>
    <n v="1670"/>
    <x v="25"/>
    <x v="1"/>
    <x v="10"/>
    <x v="12"/>
    <x v="0"/>
  </r>
  <r>
    <x v="33"/>
    <n v="1940"/>
    <n v="2650"/>
    <s v="Low Price"/>
    <n v="710"/>
    <x v="26"/>
    <x v="0"/>
    <x v="16"/>
    <x v="3"/>
    <x v="1"/>
  </r>
  <r>
    <x v="34"/>
    <n v="1980"/>
    <n v="2699"/>
    <s v="Low Price"/>
    <n v="719"/>
    <x v="26"/>
    <x v="0"/>
    <x v="17"/>
    <x v="0"/>
    <x v="0"/>
  </r>
  <r>
    <x v="35"/>
    <n v="1620"/>
    <n v="2690"/>
    <s v="Low Price"/>
    <n v="1070"/>
    <x v="27"/>
    <x v="0"/>
    <x v="18"/>
    <x v="8"/>
    <x v="1"/>
  </r>
  <r>
    <x v="36"/>
    <n v="171"/>
    <n v="360"/>
    <s v="Low Price"/>
    <n v="189"/>
    <x v="17"/>
    <x v="1"/>
    <x v="0"/>
    <x v="8"/>
    <x v="1"/>
  </r>
  <r>
    <x v="37"/>
    <n v="389"/>
    <n v="656"/>
    <s v="Low Price"/>
    <n v="267"/>
    <x v="28"/>
    <x v="1"/>
    <x v="19"/>
    <x v="12"/>
    <x v="0"/>
  </r>
  <r>
    <x v="38"/>
    <n v="1800"/>
    <n v="2700"/>
    <s v="Low Price"/>
    <n v="900"/>
    <x v="0"/>
    <x v="0"/>
    <x v="0"/>
    <x v="0"/>
    <x v="0"/>
  </r>
  <r>
    <x v="39"/>
    <n v="2750"/>
    <n v="4471"/>
    <s v="Medium Price"/>
    <n v="1721"/>
    <x v="0"/>
    <x v="0"/>
    <x v="14"/>
    <x v="10"/>
    <x v="2"/>
  </r>
  <r>
    <x v="40"/>
    <n v="475"/>
    <n v="931"/>
    <s v="Low Price"/>
    <n v="456"/>
    <x v="15"/>
    <x v="1"/>
    <x v="14"/>
    <x v="10"/>
    <x v="2"/>
  </r>
  <r>
    <x v="41"/>
    <n v="238"/>
    <n v="476"/>
    <s v="Low Price"/>
    <n v="238"/>
    <x v="29"/>
    <x v="1"/>
    <x v="14"/>
    <x v="10"/>
    <x v="2"/>
  </r>
  <r>
    <x v="42"/>
    <n v="610"/>
    <n v="1060"/>
    <s v="Low Price"/>
    <n v="450"/>
    <x v="11"/>
    <x v="1"/>
    <x v="14"/>
    <x v="10"/>
    <x v="2"/>
  </r>
  <r>
    <x v="43"/>
    <n v="2132"/>
    <n v="2169"/>
    <s v="Medium Price"/>
    <n v="37"/>
    <x v="30"/>
    <x v="2"/>
    <x v="14"/>
    <x v="10"/>
    <x v="2"/>
  </r>
  <r>
    <x v="44"/>
    <n v="999"/>
    <n v="2000"/>
    <s v="Low Price"/>
    <n v="1001"/>
    <x v="29"/>
    <x v="1"/>
    <x v="14"/>
    <x v="10"/>
    <x v="2"/>
  </r>
  <r>
    <x v="45"/>
    <n v="1190"/>
    <n v="1785"/>
    <s v="Low Price"/>
    <n v="595"/>
    <x v="12"/>
    <x v="0"/>
    <x v="14"/>
    <x v="10"/>
    <x v="2"/>
  </r>
  <r>
    <x v="46"/>
    <n v="671"/>
    <n v="1316"/>
    <s v="Low Price"/>
    <n v="645"/>
    <x v="15"/>
    <x v="1"/>
    <x v="14"/>
    <x v="10"/>
    <x v="2"/>
  </r>
  <r>
    <x v="47"/>
    <n v="1200"/>
    <n v="1950"/>
    <s v="Low Price"/>
    <n v="750"/>
    <x v="0"/>
    <x v="0"/>
    <x v="14"/>
    <x v="10"/>
    <x v="2"/>
  </r>
  <r>
    <x v="48"/>
    <n v="199"/>
    <n v="504"/>
    <s v="Low Price"/>
    <n v="305"/>
    <x v="31"/>
    <x v="1"/>
    <x v="14"/>
    <x v="10"/>
    <x v="2"/>
  </r>
  <r>
    <x v="49"/>
    <n v="299"/>
    <n v="600"/>
    <s v="Low Price"/>
    <n v="301"/>
    <x v="29"/>
    <x v="1"/>
    <x v="14"/>
    <x v="10"/>
    <x v="2"/>
  </r>
  <r>
    <x v="50"/>
    <n v="1660"/>
    <n v="1699"/>
    <s v="Low Price"/>
    <n v="39"/>
    <x v="30"/>
    <x v="2"/>
    <x v="14"/>
    <x v="10"/>
    <x v="2"/>
  </r>
  <r>
    <x v="51"/>
    <n v="299"/>
    <n v="384"/>
    <s v="Low Price"/>
    <n v="85"/>
    <x v="32"/>
    <x v="0"/>
    <x v="14"/>
    <x v="10"/>
    <x v="2"/>
  </r>
  <r>
    <x v="52"/>
    <n v="1459"/>
    <n v="1499"/>
    <s v="Low Price"/>
    <n v="40"/>
    <x v="33"/>
    <x v="2"/>
    <x v="14"/>
    <x v="10"/>
    <x v="2"/>
  </r>
  <r>
    <x v="53"/>
    <n v="799"/>
    <n v="1343"/>
    <s v="Low Price"/>
    <n v="544"/>
    <x v="28"/>
    <x v="1"/>
    <x v="14"/>
    <x v="10"/>
    <x v="2"/>
  </r>
  <r>
    <x v="54"/>
    <n v="499"/>
    <n v="900"/>
    <s v="Low Price"/>
    <n v="401"/>
    <x v="8"/>
    <x v="1"/>
    <x v="14"/>
    <x v="10"/>
    <x v="2"/>
  </r>
  <r>
    <x v="55"/>
    <n v="699"/>
    <n v="1343"/>
    <s v="Low Price"/>
    <n v="644"/>
    <x v="25"/>
    <x v="1"/>
    <x v="14"/>
    <x v="10"/>
    <x v="2"/>
  </r>
  <r>
    <x v="56"/>
    <n v="799"/>
    <n v="1567"/>
    <s v="Low Price"/>
    <n v="768"/>
    <x v="15"/>
    <x v="1"/>
    <x v="14"/>
    <x v="10"/>
    <x v="2"/>
  </r>
  <r>
    <x v="57"/>
    <n v="2799"/>
    <n v="3810"/>
    <s v="Medium Price"/>
    <n v="1011"/>
    <x v="26"/>
    <x v="0"/>
    <x v="14"/>
    <x v="10"/>
    <x v="2"/>
  </r>
  <r>
    <x v="54"/>
    <n v="399"/>
    <n v="896"/>
    <s v="Low Price"/>
    <n v="497"/>
    <x v="7"/>
    <x v="1"/>
    <x v="14"/>
    <x v="10"/>
    <x v="2"/>
  </r>
  <r>
    <x v="58"/>
    <n v="2170"/>
    <n v="2500"/>
    <s v="Medium Price"/>
    <n v="330"/>
    <x v="34"/>
    <x v="2"/>
    <x v="9"/>
    <x v="13"/>
    <x v="3"/>
  </r>
  <r>
    <x v="59"/>
    <n v="458"/>
    <n v="986"/>
    <s v="Low Price"/>
    <n v="528"/>
    <x v="20"/>
    <x v="1"/>
    <x v="20"/>
    <x v="14"/>
    <x v="0"/>
  </r>
  <r>
    <x v="60"/>
    <n v="2115"/>
    <n v="4700"/>
    <s v="Medium Price"/>
    <n v="2585"/>
    <x v="7"/>
    <x v="1"/>
    <x v="13"/>
    <x v="15"/>
    <x v="3"/>
  </r>
  <r>
    <x v="61"/>
    <n v="445"/>
    <n v="873"/>
    <s v="Low Price"/>
    <n v="428"/>
    <x v="15"/>
    <x v="1"/>
    <x v="21"/>
    <x v="16"/>
    <x v="3"/>
  </r>
  <r>
    <x v="62"/>
    <n v="325"/>
    <n v="680"/>
    <s v="Low Price"/>
    <n v="355"/>
    <x v="24"/>
    <x v="1"/>
    <x v="5"/>
    <x v="17"/>
    <x v="3"/>
  </r>
  <r>
    <x v="63"/>
    <n v="1220"/>
    <n v="1555"/>
    <s v="Low Price"/>
    <n v="335"/>
    <x v="32"/>
    <x v="0"/>
    <x v="22"/>
    <x v="18"/>
    <x v="3"/>
  </r>
  <r>
    <x v="64"/>
    <n v="990"/>
    <n v="1814"/>
    <s v="Low Price"/>
    <n v="824"/>
    <x v="8"/>
    <x v="1"/>
    <x v="9"/>
    <x v="19"/>
    <x v="3"/>
  </r>
  <r>
    <x v="65"/>
    <n v="1000"/>
    <n v="2000"/>
    <s v="Low Price"/>
    <n v="1000"/>
    <x v="29"/>
    <x v="1"/>
    <x v="3"/>
    <x v="20"/>
    <x v="3"/>
  </r>
  <r>
    <x v="66"/>
    <n v="3750"/>
    <n v="6143"/>
    <s v="High Price"/>
    <n v="2393"/>
    <x v="35"/>
    <x v="0"/>
    <x v="4"/>
    <x v="14"/>
    <x v="0"/>
  </r>
  <r>
    <x v="67"/>
    <n v="382"/>
    <n v="700"/>
    <s v="Low Price"/>
    <n v="318"/>
    <x v="8"/>
    <x v="1"/>
    <x v="23"/>
    <x v="21"/>
    <x v="3"/>
  </r>
  <r>
    <x v="68"/>
    <n v="2300"/>
    <n v="3240"/>
    <s v="Medium Price"/>
    <n v="940"/>
    <x v="36"/>
    <x v="0"/>
    <x v="4"/>
    <x v="14"/>
    <x v="0"/>
  </r>
  <r>
    <x v="69"/>
    <n v="345"/>
    <n v="602"/>
    <s v="Low Price"/>
    <n v="257"/>
    <x v="37"/>
    <x v="1"/>
    <x v="9"/>
    <x v="20"/>
    <x v="3"/>
  </r>
  <r>
    <x v="70"/>
    <n v="509"/>
    <n v="899"/>
    <s v="Low Price"/>
    <n v="390"/>
    <x v="37"/>
    <x v="1"/>
    <x v="4"/>
    <x v="14"/>
    <x v="0"/>
  </r>
  <r>
    <x v="71"/>
    <n v="968"/>
    <n v="1814"/>
    <s v="Low Price"/>
    <n v="846"/>
    <x v="1"/>
    <x v="1"/>
    <x v="9"/>
    <x v="19"/>
    <x v="3"/>
  </r>
  <r>
    <x v="72"/>
    <n v="1570"/>
    <n v="2988"/>
    <s v="Low Price"/>
    <n v="1418"/>
    <x v="1"/>
    <x v="1"/>
    <x v="3"/>
    <x v="15"/>
    <x v="3"/>
  </r>
  <r>
    <x v="73"/>
    <n v="790"/>
    <n v="1485"/>
    <s v="Low Price"/>
    <n v="695"/>
    <x v="1"/>
    <x v="1"/>
    <x v="14"/>
    <x v="10"/>
    <x v="2"/>
  </r>
  <r>
    <x v="74"/>
    <n v="690"/>
    <n v="1200"/>
    <s v="Low Price"/>
    <n v="510"/>
    <x v="37"/>
    <x v="1"/>
    <x v="14"/>
    <x v="10"/>
    <x v="2"/>
  </r>
  <r>
    <x v="75"/>
    <n v="1732"/>
    <n v="1799"/>
    <s v="Low Price"/>
    <n v="67"/>
    <x v="38"/>
    <x v="2"/>
    <x v="14"/>
    <x v="10"/>
    <x v="2"/>
  </r>
  <r>
    <x v="76"/>
    <n v="230"/>
    <n v="450"/>
    <s v="Low Price"/>
    <n v="220"/>
    <x v="15"/>
    <x v="1"/>
    <x v="14"/>
    <x v="10"/>
    <x v="2"/>
  </r>
  <r>
    <x v="77"/>
    <n v="1189"/>
    <n v="2199"/>
    <s v="Low Price"/>
    <n v="1010"/>
    <x v="14"/>
    <x v="1"/>
    <x v="18"/>
    <x v="14"/>
    <x v="0"/>
  </r>
  <r>
    <x v="78"/>
    <n v="979"/>
    <n v="1920"/>
    <s v="Low Price"/>
    <n v="941"/>
    <x v="15"/>
    <x v="1"/>
    <x v="18"/>
    <x v="8"/>
    <x v="1"/>
  </r>
  <r>
    <x v="79"/>
    <n v="1460"/>
    <n v="2290"/>
    <s v="Low Price"/>
    <n v="830"/>
    <x v="39"/>
    <x v="0"/>
    <x v="14"/>
    <x v="10"/>
    <x v="2"/>
  </r>
  <r>
    <x v="80"/>
    <n v="1666"/>
    <n v="1699"/>
    <s v="Low Price"/>
    <n v="33"/>
    <x v="30"/>
    <x v="2"/>
    <x v="14"/>
    <x v="10"/>
    <x v="2"/>
  </r>
  <r>
    <x v="81"/>
    <n v="330"/>
    <n v="647"/>
    <s v="Low Price"/>
    <n v="317"/>
    <x v="15"/>
    <x v="1"/>
    <x v="18"/>
    <x v="5"/>
    <x v="0"/>
  </r>
  <r>
    <x v="48"/>
    <n v="176"/>
    <n v="345"/>
    <s v="Low Price"/>
    <n v="169"/>
    <x v="15"/>
    <x v="1"/>
    <x v="14"/>
    <x v="10"/>
    <x v="2"/>
  </r>
  <r>
    <x v="82"/>
    <n v="1466"/>
    <n v="1699"/>
    <s v="Low Price"/>
    <n v="233"/>
    <x v="40"/>
    <x v="2"/>
    <x v="14"/>
    <x v="10"/>
    <x v="2"/>
  </r>
  <r>
    <x v="83"/>
    <n v="274"/>
    <n v="537"/>
    <s v="Low Price"/>
    <n v="263"/>
    <x v="15"/>
    <x v="1"/>
    <x v="14"/>
    <x v="10"/>
    <x v="2"/>
  </r>
  <r>
    <x v="84"/>
    <n v="799"/>
    <n v="900"/>
    <s v="Low Price"/>
    <n v="101"/>
    <x v="41"/>
    <x v="2"/>
    <x v="14"/>
    <x v="10"/>
    <x v="2"/>
  </r>
  <r>
    <x v="56"/>
    <n v="657"/>
    <n v="1288"/>
    <s v="Low Price"/>
    <n v="631"/>
    <x v="15"/>
    <x v="1"/>
    <x v="14"/>
    <x v="10"/>
    <x v="2"/>
  </r>
  <r>
    <x v="85"/>
    <n v="1468"/>
    <n v="1699"/>
    <s v="Low Price"/>
    <n v="231"/>
    <x v="40"/>
    <x v="2"/>
    <x v="14"/>
    <x v="10"/>
    <x v="2"/>
  </r>
  <r>
    <x v="86"/>
    <n v="630"/>
    <n v="1100"/>
    <s v="Low Price"/>
    <n v="470"/>
    <x v="37"/>
    <x v="1"/>
    <x v="14"/>
    <x v="10"/>
    <x v="2"/>
  </r>
  <r>
    <x v="87"/>
    <n v="850"/>
    <n v="1700"/>
    <s v="Low Price"/>
    <n v="850"/>
    <x v="29"/>
    <x v="1"/>
    <x v="14"/>
    <x v="10"/>
    <x v="2"/>
  </r>
  <r>
    <x v="88"/>
    <n v="1300"/>
    <n v="2500"/>
    <s v="Low Price"/>
    <n v="1200"/>
    <x v="25"/>
    <x v="1"/>
    <x v="14"/>
    <x v="10"/>
    <x v="2"/>
  </r>
  <r>
    <x v="89"/>
    <n v="105"/>
    <n v="200"/>
    <s v="Low Price"/>
    <n v="95"/>
    <x v="25"/>
    <x v="1"/>
    <x v="14"/>
    <x v="10"/>
    <x v="2"/>
  </r>
  <r>
    <x v="90"/>
    <n v="899"/>
    <n v="1699"/>
    <s v="Low Price"/>
    <n v="800"/>
    <x v="1"/>
    <x v="1"/>
    <x v="14"/>
    <x v="10"/>
    <x v="2"/>
  </r>
  <r>
    <x v="91"/>
    <n v="1200"/>
    <n v="2400"/>
    <s v="Low Price"/>
    <n v="1200"/>
    <x v="29"/>
    <x v="1"/>
    <x v="14"/>
    <x v="10"/>
    <x v="2"/>
  </r>
  <r>
    <x v="92"/>
    <n v="1526"/>
    <n v="1660"/>
    <s v="Low Price"/>
    <n v="134"/>
    <x v="42"/>
    <x v="2"/>
    <x v="14"/>
    <x v="10"/>
    <x v="2"/>
  </r>
  <r>
    <x v="93"/>
    <n v="1462"/>
    <n v="1499"/>
    <s v="Low Price"/>
    <n v="37"/>
    <x v="30"/>
    <x v="2"/>
    <x v="14"/>
    <x v="10"/>
    <x v="2"/>
  </r>
  <r>
    <x v="94"/>
    <n v="248"/>
    <n v="486"/>
    <s v="Low Price"/>
    <n v="238"/>
    <x v="15"/>
    <x v="1"/>
    <x v="14"/>
    <x v="10"/>
    <x v="2"/>
  </r>
  <r>
    <x v="95"/>
    <n v="3546"/>
    <n v="3699"/>
    <s v="High Price"/>
    <n v="153"/>
    <x v="38"/>
    <x v="2"/>
    <x v="14"/>
    <x v="10"/>
    <x v="2"/>
  </r>
  <r>
    <x v="96"/>
    <n v="525"/>
    <n v="1029"/>
    <s v="Low Price"/>
    <n v="504"/>
    <x v="15"/>
    <x v="1"/>
    <x v="14"/>
    <x v="10"/>
    <x v="2"/>
  </r>
  <r>
    <x v="97"/>
    <n v="1080"/>
    <n v="1874"/>
    <s v="Low Price"/>
    <n v="794"/>
    <x v="11"/>
    <x v="1"/>
    <x v="14"/>
    <x v="10"/>
    <x v="2"/>
  </r>
  <r>
    <x v="98"/>
    <n v="3640"/>
    <n v="4588"/>
    <s v="High Price"/>
    <n v="948"/>
    <x v="43"/>
    <x v="0"/>
    <x v="18"/>
    <x v="8"/>
    <x v="1"/>
  </r>
  <r>
    <x v="99"/>
    <n v="1420"/>
    <n v="2420"/>
    <s v="Low Price"/>
    <n v="1000"/>
    <x v="28"/>
    <x v="1"/>
    <x v="14"/>
    <x v="10"/>
    <x v="2"/>
  </r>
  <r>
    <x v="100"/>
    <n v="1875"/>
    <n v="1899"/>
    <s v="Low Price"/>
    <n v="24"/>
    <x v="44"/>
    <x v="2"/>
    <x v="14"/>
    <x v="10"/>
    <x v="2"/>
  </r>
  <r>
    <x v="101"/>
    <n v="198"/>
    <n v="260"/>
    <s v="Low Price"/>
    <n v="62"/>
    <x v="6"/>
    <x v="0"/>
    <x v="14"/>
    <x v="10"/>
    <x v="2"/>
  </r>
  <r>
    <x v="102"/>
    <n v="1150"/>
    <n v="1737"/>
    <s v="Low Price"/>
    <n v="587"/>
    <x v="10"/>
    <x v="0"/>
    <x v="14"/>
    <x v="10"/>
    <x v="2"/>
  </r>
  <r>
    <x v="103"/>
    <n v="1190"/>
    <n v="1810"/>
    <s v="Low Price"/>
    <n v="620"/>
    <x v="10"/>
    <x v="0"/>
    <x v="14"/>
    <x v="10"/>
    <x v="2"/>
  </r>
  <r>
    <x v="104"/>
    <n v="1658"/>
    <n v="1699"/>
    <s v="Low Price"/>
    <n v="41"/>
    <x v="30"/>
    <x v="2"/>
    <x v="14"/>
    <x v="10"/>
    <x v="2"/>
  </r>
  <r>
    <x v="105"/>
    <n v="1768"/>
    <n v="1799"/>
    <s v="Low Price"/>
    <n v="31"/>
    <x v="30"/>
    <x v="2"/>
    <x v="14"/>
    <x v="10"/>
    <x v="2"/>
  </r>
  <r>
    <x v="106"/>
    <n v="199"/>
    <n v="553"/>
    <s v="Low Price"/>
    <n v="354"/>
    <x v="45"/>
    <x v="1"/>
    <x v="14"/>
    <x v="10"/>
    <x v="2"/>
  </r>
  <r>
    <x v="107"/>
    <n v="450"/>
    <n v="900"/>
    <s v="Low Price"/>
    <n v="450"/>
    <x v="29"/>
    <x v="1"/>
    <x v="18"/>
    <x v="22"/>
    <x v="3"/>
  </r>
  <r>
    <x v="108"/>
    <n v="169"/>
    <n v="320"/>
    <s v="Low Price"/>
    <n v="151"/>
    <x v="1"/>
    <x v="1"/>
    <x v="14"/>
    <x v="10"/>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s v="Low Price"/>
    <n v="575"/>
    <n v="0.38"/>
    <s v="Medium Discount"/>
    <n v="2"/>
    <n v="4.5"/>
    <s v="Average"/>
  </r>
  <r>
    <x v="1"/>
    <n v="527"/>
    <n v="999"/>
    <s v="Low Price"/>
    <n v="472"/>
    <n v="0.47"/>
    <s v="High Discount"/>
    <n v="14"/>
    <n v="4.0999999999999996"/>
    <s v="Average"/>
  </r>
  <r>
    <x v="2"/>
    <n v="2199"/>
    <n v="2923"/>
    <s v="Medium Price"/>
    <n v="724"/>
    <n v="0.25"/>
    <s v="Medium Discount"/>
    <n v="24"/>
    <n v="4.5999999999999996"/>
    <s v="Excellent"/>
  </r>
  <r>
    <x v="3"/>
    <n v="1580"/>
    <n v="2499"/>
    <s v="Low Price"/>
    <n v="919"/>
    <n v="0.37"/>
    <s v="Medium Discount"/>
    <n v="7"/>
    <n v="4.7"/>
    <s v="Excellent"/>
  </r>
  <r>
    <x v="4"/>
    <n v="1740"/>
    <n v="2356"/>
    <s v="Low Price"/>
    <n v="616"/>
    <n v="0.26"/>
    <s v="Medium Discount"/>
    <n v="5"/>
    <n v="4.8"/>
    <s v="Excellent"/>
  </r>
  <r>
    <x v="5"/>
    <n v="2999"/>
    <n v="3290"/>
    <s v="Medium Price"/>
    <n v="291"/>
    <n v="0.09"/>
    <s v="Low Discount"/>
    <n v="15"/>
    <n v="4"/>
    <s v="Average"/>
  </r>
  <r>
    <x v="6"/>
    <n v="2319"/>
    <n v="3032"/>
    <s v="Medium Price"/>
    <n v="713"/>
    <n v="0.24"/>
    <s v="Medium Discount"/>
    <n v="55"/>
    <n v="4.5999999999999996"/>
    <s v="Excellent"/>
  </r>
  <r>
    <x v="7"/>
    <n v="988"/>
    <n v="1580"/>
    <s v="Low Price"/>
    <n v="592"/>
    <n v="0.37"/>
    <s v="Medium Discount"/>
    <n v="2"/>
    <n v="4"/>
    <s v="Average"/>
  </r>
  <r>
    <x v="8"/>
    <n v="1274"/>
    <n v="2800"/>
    <s v="Low Price"/>
    <n v="1526"/>
    <n v="0.55000000000000004"/>
    <s v="High Discount"/>
    <n v="5"/>
    <n v="4.8"/>
    <s v="Excellent"/>
  </r>
  <r>
    <x v="9"/>
    <n v="1600"/>
    <n v="2929"/>
    <s v="Low Price"/>
    <n v="1329"/>
    <n v="0.45"/>
    <s v="High Discount"/>
    <n v="5"/>
    <n v="3.8"/>
    <s v="Average"/>
  </r>
  <r>
    <x v="10"/>
    <n v="799"/>
    <n v="999"/>
    <s v="Low Price"/>
    <n v="200"/>
    <n v="0.2"/>
    <s v="Medium Discount"/>
    <n v="12"/>
    <n v="4.0999999999999996"/>
    <s v="Average"/>
  </r>
  <r>
    <x v="11"/>
    <n v="990"/>
    <n v="1500"/>
    <s v="Low Price"/>
    <n v="510"/>
    <n v="0.34"/>
    <s v="Medium Discount"/>
    <n v="39"/>
    <n v="4.7"/>
    <s v="Excellent"/>
  </r>
  <r>
    <x v="12"/>
    <n v="552"/>
    <n v="1035"/>
    <s v="Low Price"/>
    <n v="483"/>
    <n v="0.47"/>
    <s v="High Discount"/>
    <n v="12"/>
    <n v="4.8"/>
    <s v="Excellent"/>
  </r>
  <r>
    <x v="13"/>
    <n v="501"/>
    <n v="860"/>
    <s v="Low Price"/>
    <n v="359"/>
    <n v="0.42"/>
    <s v="High Discount"/>
    <n v="6"/>
    <n v="4.5"/>
    <s v="Average"/>
  </r>
  <r>
    <x v="14"/>
    <n v="1680"/>
    <n v="2499"/>
    <s v="Low Price"/>
    <n v="819"/>
    <n v="0.33"/>
    <s v="Medium Discount"/>
    <n v="9"/>
    <n v="4.2"/>
    <s v="Average"/>
  </r>
  <r>
    <x v="15"/>
    <n v="332"/>
    <n v="684"/>
    <s v="Low Price"/>
    <n v="352"/>
    <n v="0.51"/>
    <s v="High Discount"/>
    <n v="2"/>
    <n v="5"/>
    <s v="Excellent"/>
  </r>
  <r>
    <x v="16"/>
    <n v="195"/>
    <n v="360"/>
    <s v="Low Price"/>
    <n v="165"/>
    <n v="0.46"/>
    <s v="High Discount"/>
    <n v="2"/>
    <n v="5"/>
    <s v="Excellent"/>
  </r>
  <r>
    <x v="17"/>
    <n v="2025"/>
    <n v="3971"/>
    <s v="Medium Price"/>
    <n v="1946"/>
    <n v="0.49"/>
    <s v="High Discount"/>
    <n v="3"/>
    <n v="5"/>
    <s v="Excellent"/>
  </r>
  <r>
    <x v="18"/>
    <n v="2999"/>
    <n v="3699"/>
    <s v="Medium Price"/>
    <n v="700"/>
    <n v="0.19"/>
    <s v="Low Discount"/>
    <n v="5"/>
    <n v="4.5999999999999996"/>
    <s v="Excellent"/>
  </r>
  <r>
    <x v="19"/>
    <n v="998"/>
    <n v="1966"/>
    <s v="Low Price"/>
    <n v="968"/>
    <n v="0.49"/>
    <s v="High Discount"/>
    <n v="44"/>
    <n v="4.5999999999999996"/>
    <s v="Excellent"/>
  </r>
  <r>
    <x v="20"/>
    <n v="38"/>
    <n v="80"/>
    <s v="Low Price"/>
    <n v="42"/>
    <n v="0.53"/>
    <s v="High Discount"/>
    <n v="13"/>
    <n v="3.3"/>
    <s v="Average"/>
  </r>
  <r>
    <x v="21"/>
    <n v="1860"/>
    <n v="3220"/>
    <s v="Low Price"/>
    <n v="1360"/>
    <n v="0.42"/>
    <s v="High Discount"/>
    <s v="Unknown"/>
    <s v="Unknown"/>
    <s v="Unknown"/>
  </r>
  <r>
    <x v="22"/>
    <n v="880"/>
    <n v="1350"/>
    <s v="Low Price"/>
    <n v="470"/>
    <n v="0.35"/>
    <s v="Medium Discount"/>
    <n v="6"/>
    <n v="4"/>
    <s v="Average"/>
  </r>
  <r>
    <x v="23"/>
    <n v="1650"/>
    <n v="2150"/>
    <s v="Low Price"/>
    <n v="500"/>
    <n v="0.23"/>
    <s v="Medium Discount"/>
    <n v="14"/>
    <n v="4.4000000000000004"/>
    <s v="Average"/>
  </r>
  <r>
    <x v="24"/>
    <n v="2048"/>
    <n v="4500"/>
    <s v="Medium Price"/>
    <n v="2452"/>
    <n v="0.54"/>
    <s v="High Discount"/>
    <n v="7"/>
    <n v="4.3"/>
    <s v="Average"/>
  </r>
  <r>
    <x v="25"/>
    <n v="420"/>
    <n v="647"/>
    <s v="Low Price"/>
    <n v="227"/>
    <n v="0.35"/>
    <s v="Medium Discount"/>
    <n v="49"/>
    <n v="4.5999999999999996"/>
    <s v="Excellent"/>
  </r>
  <r>
    <x v="26"/>
    <n v="2880"/>
    <n v="3520"/>
    <s v="Medium Price"/>
    <n v="640"/>
    <n v="0.18"/>
    <s v="Low Discount"/>
    <n v="12"/>
    <n v="3.8"/>
    <s v="Average"/>
  </r>
  <r>
    <x v="27"/>
    <n v="1350"/>
    <n v="1990"/>
    <s v="Low Price"/>
    <n v="640"/>
    <n v="0.32"/>
    <s v="Medium Discount"/>
    <n v="13"/>
    <n v="3.8"/>
    <s v="Average"/>
  </r>
  <r>
    <x v="28"/>
    <n v="1758"/>
    <n v="2499"/>
    <s v="Low Price"/>
    <n v="741"/>
    <n v="0.3"/>
    <s v="Medium Discount"/>
    <n v="20"/>
    <n v="4.0999999999999996"/>
    <s v="Average"/>
  </r>
  <r>
    <x v="29"/>
    <n v="2200"/>
    <n v="4080"/>
    <s v="Medium Price"/>
    <n v="1880"/>
    <n v="0.46"/>
    <s v="High Discount"/>
    <s v="Unknown"/>
    <s v="Unknown"/>
    <s v="Unknown"/>
  </r>
  <r>
    <x v="30"/>
    <n v="185"/>
    <n v="382"/>
    <s v="Low Price"/>
    <n v="197"/>
    <n v="0.52"/>
    <s v="High Discount"/>
    <n v="9"/>
    <n v="4.3"/>
    <s v="Average"/>
  </r>
  <r>
    <x v="31"/>
    <n v="980"/>
    <n v="1490"/>
    <s v="Low Price"/>
    <n v="510"/>
    <n v="0.34"/>
    <s v="Medium Discount"/>
    <n v="12"/>
    <n v="4.7"/>
    <s v="Excellent"/>
  </r>
  <r>
    <x v="32"/>
    <n v="1820"/>
    <n v="3490"/>
    <s v="Low Price"/>
    <n v="1670"/>
    <n v="0.48"/>
    <s v="High Discount"/>
    <n v="9"/>
    <n v="4.3"/>
    <s v="Average"/>
  </r>
  <r>
    <x v="33"/>
    <n v="1940"/>
    <n v="2650"/>
    <s v="Low Price"/>
    <n v="710"/>
    <n v="0.27"/>
    <s v="Medium Discount"/>
    <n v="20"/>
    <n v="4.7"/>
    <s v="Excellent"/>
  </r>
  <r>
    <x v="34"/>
    <n v="1980"/>
    <n v="2699"/>
    <s v="Low Price"/>
    <n v="719"/>
    <n v="0.27"/>
    <s v="Medium Discount"/>
    <n v="32"/>
    <n v="4.5"/>
    <s v="Average"/>
  </r>
  <r>
    <x v="35"/>
    <n v="1620"/>
    <n v="2690"/>
    <s v="Low Price"/>
    <n v="1070"/>
    <n v="0.4"/>
    <s v="Medium Discount"/>
    <n v="1"/>
    <n v="5"/>
    <s v="Excellent"/>
  </r>
  <r>
    <x v="36"/>
    <n v="171"/>
    <n v="360"/>
    <s v="Low Price"/>
    <n v="189"/>
    <n v="0.53"/>
    <s v="High Discount"/>
    <n v="2"/>
    <n v="5"/>
    <s v="Excellent"/>
  </r>
  <r>
    <x v="37"/>
    <n v="389"/>
    <n v="656"/>
    <s v="Low Price"/>
    <n v="267"/>
    <n v="0.41"/>
    <s v="High Discount"/>
    <n v="36"/>
    <n v="4.3"/>
    <s v="Average"/>
  </r>
  <r>
    <x v="38"/>
    <n v="1800"/>
    <n v="2700"/>
    <s v="Low Price"/>
    <n v="900"/>
    <n v="0.38"/>
    <s v="Medium Discount"/>
    <n v="2"/>
    <n v="4.5"/>
    <s v="Average"/>
  </r>
  <r>
    <x v="39"/>
    <n v="2750"/>
    <n v="4471"/>
    <s v="Medium Price"/>
    <n v="1721"/>
    <n v="0.38"/>
    <s v="Medium Discount"/>
    <s v="Unknown"/>
    <s v="Unknown"/>
    <s v="Unknown"/>
  </r>
  <r>
    <x v="40"/>
    <n v="475"/>
    <n v="931"/>
    <s v="Low Price"/>
    <n v="456"/>
    <n v="0.49"/>
    <s v="High Discount"/>
    <s v="Unknown"/>
    <s v="Unknown"/>
    <s v="Unknown"/>
  </r>
  <r>
    <x v="41"/>
    <n v="238"/>
    <n v="476"/>
    <s v="Low Price"/>
    <n v="238"/>
    <n v="0.5"/>
    <s v="High Discount"/>
    <s v="Unknown"/>
    <s v="Unknown"/>
    <s v="Unknown"/>
  </r>
  <r>
    <x v="42"/>
    <n v="610"/>
    <n v="1060"/>
    <s v="Low Price"/>
    <n v="450"/>
    <n v="0.42"/>
    <s v="High Discount"/>
    <s v="Unknown"/>
    <s v="Unknown"/>
    <s v="Unknown"/>
  </r>
  <r>
    <x v="43"/>
    <n v="2132"/>
    <n v="2169"/>
    <s v="Medium Price"/>
    <n v="37"/>
    <n v="0.02"/>
    <s v="Low Discount"/>
    <s v="Unknown"/>
    <s v="Unknown"/>
    <s v="Unknown"/>
  </r>
  <r>
    <x v="44"/>
    <n v="999"/>
    <n v="2000"/>
    <s v="Low Price"/>
    <n v="1001"/>
    <n v="0.5"/>
    <s v="High Discount"/>
    <s v="Unknown"/>
    <s v="Unknown"/>
    <s v="Unknown"/>
  </r>
  <r>
    <x v="45"/>
    <n v="1190"/>
    <n v="1785"/>
    <s v="Low Price"/>
    <n v="595"/>
    <n v="0.33"/>
    <s v="Medium Discount"/>
    <s v="Unknown"/>
    <s v="Unknown"/>
    <s v="Unknown"/>
  </r>
  <r>
    <x v="46"/>
    <n v="671"/>
    <n v="1316"/>
    <s v="Low Price"/>
    <n v="645"/>
    <n v="0.49"/>
    <s v="High Discount"/>
    <s v="Unknown"/>
    <s v="Unknown"/>
    <s v="Unknown"/>
  </r>
  <r>
    <x v="47"/>
    <n v="1200"/>
    <n v="1950"/>
    <s v="Low Price"/>
    <n v="750"/>
    <n v="0.38"/>
    <s v="Medium Discount"/>
    <s v="Unknown"/>
    <s v="Unknown"/>
    <s v="Unknown"/>
  </r>
  <r>
    <x v="48"/>
    <n v="199"/>
    <n v="504"/>
    <s v="Low Price"/>
    <n v="305"/>
    <n v="0.61"/>
    <s v="High Discount"/>
    <s v="Unknown"/>
    <s v="Unknown"/>
    <s v="Unknown"/>
  </r>
  <r>
    <x v="49"/>
    <n v="299"/>
    <n v="600"/>
    <s v="Low Price"/>
    <n v="301"/>
    <n v="0.5"/>
    <s v="High Discount"/>
    <s v="Unknown"/>
    <s v="Unknown"/>
    <s v="Unknown"/>
  </r>
  <r>
    <x v="50"/>
    <n v="1660"/>
    <n v="1699"/>
    <s v="Low Price"/>
    <n v="39"/>
    <n v="0.02"/>
    <s v="Low Discount"/>
    <s v="Unknown"/>
    <s v="Unknown"/>
    <s v="Unknown"/>
  </r>
  <r>
    <x v="51"/>
    <n v="299"/>
    <n v="384"/>
    <s v="Low Price"/>
    <n v="85"/>
    <n v="0.22"/>
    <s v="Medium Discount"/>
    <s v="Unknown"/>
    <s v="Unknown"/>
    <s v="Unknown"/>
  </r>
  <r>
    <x v="52"/>
    <n v="1459"/>
    <n v="1499"/>
    <s v="Low Price"/>
    <n v="40"/>
    <n v="0.03"/>
    <s v="Low Discount"/>
    <s v="Unknown"/>
    <s v="Unknown"/>
    <s v="Unknown"/>
  </r>
  <r>
    <x v="53"/>
    <n v="799"/>
    <n v="1343"/>
    <s v="Low Price"/>
    <n v="544"/>
    <n v="0.41"/>
    <s v="High Discount"/>
    <s v="Unknown"/>
    <s v="Unknown"/>
    <s v="Unknown"/>
  </r>
  <r>
    <x v="54"/>
    <n v="499"/>
    <n v="900"/>
    <s v="Low Price"/>
    <n v="401"/>
    <n v="0.45"/>
    <s v="High Discount"/>
    <s v="Unknown"/>
    <s v="Unknown"/>
    <s v="Unknown"/>
  </r>
  <r>
    <x v="55"/>
    <n v="699"/>
    <n v="1343"/>
    <s v="Low Price"/>
    <n v="644"/>
    <n v="0.48"/>
    <s v="High Discount"/>
    <s v="Unknown"/>
    <s v="Unknown"/>
    <s v="Unknown"/>
  </r>
  <r>
    <x v="56"/>
    <n v="799"/>
    <n v="1567"/>
    <s v="Low Price"/>
    <n v="768"/>
    <n v="0.49"/>
    <s v="High Discount"/>
    <s v="Unknown"/>
    <s v="Unknown"/>
    <s v="Unknown"/>
  </r>
  <r>
    <x v="57"/>
    <n v="2799"/>
    <n v="3810"/>
    <s v="Medium Price"/>
    <n v="1011"/>
    <n v="0.27"/>
    <s v="Medium Discount"/>
    <s v="Unknown"/>
    <s v="Unknown"/>
    <s v="Unknown"/>
  </r>
  <r>
    <x v="54"/>
    <n v="399"/>
    <n v="896"/>
    <s v="Low Price"/>
    <n v="497"/>
    <n v="0.55000000000000004"/>
    <s v="High Discount"/>
    <s v="Unknown"/>
    <s v="Unknown"/>
    <s v="Unknown"/>
  </r>
  <r>
    <x v="58"/>
    <n v="2170"/>
    <n v="2500"/>
    <s v="Medium Price"/>
    <n v="330"/>
    <n v="0.13"/>
    <s v="Low Discount"/>
    <n v="6"/>
    <n v="2.5"/>
    <s v="Poor"/>
  </r>
  <r>
    <x v="59"/>
    <n v="458"/>
    <n v="986"/>
    <s v="Low Price"/>
    <n v="528"/>
    <n v="0.54"/>
    <s v="High Discount"/>
    <n v="10"/>
    <n v="3"/>
    <s v="Average"/>
  </r>
  <r>
    <x v="60"/>
    <n v="2115"/>
    <n v="4700"/>
    <s v="Medium Price"/>
    <n v="2585"/>
    <n v="0.55000000000000004"/>
    <s v="High Discount"/>
    <n v="13"/>
    <n v="2.1"/>
    <s v="Poor"/>
  </r>
  <r>
    <x v="61"/>
    <n v="445"/>
    <n v="873"/>
    <s v="Low Price"/>
    <n v="428"/>
    <n v="0.49"/>
    <s v="High Discount"/>
    <n v="69"/>
    <n v="2.8"/>
    <s v="Poor"/>
  </r>
  <r>
    <x v="62"/>
    <n v="325"/>
    <n v="680"/>
    <s v="Low Price"/>
    <n v="355"/>
    <n v="0.52"/>
    <s v="High Discount"/>
    <n v="15"/>
    <n v="2.7"/>
    <s v="Poor"/>
  </r>
  <r>
    <x v="63"/>
    <n v="1220"/>
    <n v="1555"/>
    <s v="Low Price"/>
    <n v="335"/>
    <n v="0.22"/>
    <s v="Medium Discount"/>
    <n v="16"/>
    <n v="2.9"/>
    <s v="Poor"/>
  </r>
  <r>
    <x v="64"/>
    <n v="990"/>
    <n v="1814"/>
    <s v="Low Price"/>
    <n v="824"/>
    <n v="0.45"/>
    <s v="High Discount"/>
    <n v="6"/>
    <n v="2.2000000000000002"/>
    <s v="Poor"/>
  </r>
  <r>
    <x v="65"/>
    <n v="1000"/>
    <n v="2000"/>
    <s v="Low Price"/>
    <n v="1000"/>
    <n v="0.5"/>
    <s v="High Discount"/>
    <n v="7"/>
    <n v="2.2999999999999998"/>
    <s v="Poor"/>
  </r>
  <r>
    <x v="66"/>
    <n v="3750"/>
    <n v="6143"/>
    <s v="High Price"/>
    <n v="2393"/>
    <n v="0.39"/>
    <s v="Medium Discount"/>
    <n v="5"/>
    <n v="3"/>
    <s v="Average"/>
  </r>
  <r>
    <x v="67"/>
    <n v="382"/>
    <n v="700"/>
    <s v="Low Price"/>
    <n v="318"/>
    <n v="0.45"/>
    <s v="High Discount"/>
    <n v="17"/>
    <n v="2.6"/>
    <s v="Poor"/>
  </r>
  <r>
    <x v="68"/>
    <n v="2300"/>
    <n v="3240"/>
    <s v="Medium Price"/>
    <n v="940"/>
    <n v="0.28999999999999998"/>
    <s v="Medium Discount"/>
    <n v="5"/>
    <n v="3"/>
    <s v="Average"/>
  </r>
  <r>
    <x v="69"/>
    <n v="345"/>
    <n v="602"/>
    <s v="Low Price"/>
    <n v="257"/>
    <n v="0.43"/>
    <s v="High Discount"/>
    <n v="6"/>
    <n v="2.2999999999999998"/>
    <s v="Poor"/>
  </r>
  <r>
    <x v="70"/>
    <n v="509"/>
    <n v="899"/>
    <s v="Low Price"/>
    <n v="390"/>
    <n v="0.43"/>
    <s v="High Discount"/>
    <n v="5"/>
    <n v="3"/>
    <s v="Average"/>
  </r>
  <r>
    <x v="71"/>
    <n v="968"/>
    <n v="1814"/>
    <s v="Low Price"/>
    <n v="846"/>
    <n v="0.47"/>
    <s v="High Discount"/>
    <n v="6"/>
    <n v="2.2000000000000002"/>
    <s v="Poor"/>
  </r>
  <r>
    <x v="72"/>
    <n v="1570"/>
    <n v="2988"/>
    <s v="Low Price"/>
    <n v="1418"/>
    <n v="0.47"/>
    <s v="High Discount"/>
    <n v="7"/>
    <n v="2.1"/>
    <s v="Poor"/>
  </r>
  <r>
    <x v="73"/>
    <n v="790"/>
    <n v="1485"/>
    <s v="Low Price"/>
    <n v="695"/>
    <n v="0.47"/>
    <s v="High Discount"/>
    <s v="Unknown"/>
    <s v="Unknown"/>
    <s v="Unknown"/>
  </r>
  <r>
    <x v="74"/>
    <n v="690"/>
    <n v="1200"/>
    <s v="Low Price"/>
    <n v="510"/>
    <n v="0.43"/>
    <s v="High Discount"/>
    <s v="Unknown"/>
    <s v="Unknown"/>
    <s v="Unknown"/>
  </r>
  <r>
    <x v="75"/>
    <n v="1732"/>
    <n v="1799"/>
    <s v="Low Price"/>
    <n v="67"/>
    <n v="0.04"/>
    <s v="Low Discount"/>
    <s v="Unknown"/>
    <s v="Unknown"/>
    <s v="Unknown"/>
  </r>
  <r>
    <x v="76"/>
    <n v="230"/>
    <n v="450"/>
    <s v="Low Price"/>
    <n v="220"/>
    <n v="0.49"/>
    <s v="High Discount"/>
    <s v="Unknown"/>
    <s v="Unknown"/>
    <s v="Unknown"/>
  </r>
  <r>
    <x v="77"/>
    <n v="1189"/>
    <n v="2199"/>
    <s v="Low Price"/>
    <n v="1010"/>
    <n v="0.46"/>
    <s v="High Discount"/>
    <n v="1"/>
    <n v="3"/>
    <s v="Average"/>
  </r>
  <r>
    <x v="78"/>
    <n v="979"/>
    <n v="1920"/>
    <s v="Low Price"/>
    <n v="941"/>
    <n v="0.49"/>
    <s v="High Discount"/>
    <n v="1"/>
    <n v="5"/>
    <s v="Excellent"/>
  </r>
  <r>
    <x v="79"/>
    <n v="1460"/>
    <n v="2290"/>
    <s v="Low Price"/>
    <n v="830"/>
    <n v="0.36"/>
    <s v="Medium Discount"/>
    <s v="Unknown"/>
    <s v="Unknown"/>
    <s v="Unknown"/>
  </r>
  <r>
    <x v="80"/>
    <n v="1666"/>
    <n v="1699"/>
    <s v="Low Price"/>
    <n v="33"/>
    <n v="0.02"/>
    <s v="Low Discount"/>
    <s v="Unknown"/>
    <s v="Unknown"/>
    <s v="Unknown"/>
  </r>
  <r>
    <x v="81"/>
    <n v="330"/>
    <n v="647"/>
    <s v="Low Price"/>
    <n v="317"/>
    <n v="0.49"/>
    <s v="High Discount"/>
    <n v="1"/>
    <n v="4"/>
    <s v="Average"/>
  </r>
  <r>
    <x v="48"/>
    <n v="176"/>
    <n v="345"/>
    <s v="Low Price"/>
    <n v="169"/>
    <n v="0.49"/>
    <s v="High Discount"/>
    <s v="Unknown"/>
    <s v="Unknown"/>
    <s v="Unknown"/>
  </r>
  <r>
    <x v="82"/>
    <n v="1466"/>
    <n v="1699"/>
    <s v="Low Price"/>
    <n v="233"/>
    <n v="0.14000000000000001"/>
    <s v="Low Discount"/>
    <s v="Unknown"/>
    <s v="Unknown"/>
    <s v="Unknown"/>
  </r>
  <r>
    <x v="83"/>
    <n v="274"/>
    <n v="537"/>
    <s v="Low Price"/>
    <n v="263"/>
    <n v="0.49"/>
    <s v="High Discount"/>
    <s v="Unknown"/>
    <s v="Unknown"/>
    <s v="Unknown"/>
  </r>
  <r>
    <x v="84"/>
    <n v="799"/>
    <n v="900"/>
    <s v="Low Price"/>
    <n v="101"/>
    <n v="0.11"/>
    <s v="Low Discount"/>
    <s v="Unknown"/>
    <s v="Unknown"/>
    <s v="Unknown"/>
  </r>
  <r>
    <x v="56"/>
    <n v="657"/>
    <n v="1288"/>
    <s v="Low Price"/>
    <n v="631"/>
    <n v="0.49"/>
    <s v="High Discount"/>
    <s v="Unknown"/>
    <s v="Unknown"/>
    <s v="Unknown"/>
  </r>
  <r>
    <x v="85"/>
    <n v="1468"/>
    <n v="1699"/>
    <s v="Low Price"/>
    <n v="231"/>
    <n v="0.14000000000000001"/>
    <s v="Low Discount"/>
    <s v="Unknown"/>
    <s v="Unknown"/>
    <s v="Unknown"/>
  </r>
  <r>
    <x v="86"/>
    <n v="630"/>
    <n v="1100"/>
    <s v="Low Price"/>
    <n v="470"/>
    <n v="0.43"/>
    <s v="High Discount"/>
    <s v="Unknown"/>
    <s v="Unknown"/>
    <s v="Unknown"/>
  </r>
  <r>
    <x v="87"/>
    <n v="850"/>
    <n v="1700"/>
    <s v="Low Price"/>
    <n v="850"/>
    <n v="0.5"/>
    <s v="High Discount"/>
    <s v="Unknown"/>
    <s v="Unknown"/>
    <s v="Unknown"/>
  </r>
  <r>
    <x v="88"/>
    <n v="1300"/>
    <n v="2500"/>
    <s v="Low Price"/>
    <n v="1200"/>
    <n v="0.48"/>
    <s v="High Discount"/>
    <s v="Unknown"/>
    <s v="Unknown"/>
    <s v="Unknown"/>
  </r>
  <r>
    <x v="89"/>
    <n v="105"/>
    <n v="200"/>
    <s v="Low Price"/>
    <n v="95"/>
    <n v="0.48"/>
    <s v="High Discount"/>
    <s v="Unknown"/>
    <s v="Unknown"/>
    <s v="Unknown"/>
  </r>
  <r>
    <x v="90"/>
    <n v="899"/>
    <n v="1699"/>
    <s v="Low Price"/>
    <n v="800"/>
    <n v="0.47"/>
    <s v="High Discount"/>
    <s v="Unknown"/>
    <s v="Unknown"/>
    <s v="Unknown"/>
  </r>
  <r>
    <x v="91"/>
    <n v="1200"/>
    <n v="2400"/>
    <s v="Low Price"/>
    <n v="1200"/>
    <n v="0.5"/>
    <s v="High Discount"/>
    <s v="Unknown"/>
    <s v="Unknown"/>
    <s v="Unknown"/>
  </r>
  <r>
    <x v="92"/>
    <n v="1526"/>
    <n v="1660"/>
    <s v="Low Price"/>
    <n v="134"/>
    <n v="0.08"/>
    <s v="Low Discount"/>
    <s v="Unknown"/>
    <s v="Unknown"/>
    <s v="Unknown"/>
  </r>
  <r>
    <x v="93"/>
    <n v="1462"/>
    <n v="1499"/>
    <s v="Low Price"/>
    <n v="37"/>
    <n v="0.02"/>
    <s v="Low Discount"/>
    <s v="Unknown"/>
    <s v="Unknown"/>
    <s v="Unknown"/>
  </r>
  <r>
    <x v="94"/>
    <n v="248"/>
    <n v="486"/>
    <s v="Low Price"/>
    <n v="238"/>
    <n v="0.49"/>
    <s v="High Discount"/>
    <s v="Unknown"/>
    <s v="Unknown"/>
    <s v="Unknown"/>
  </r>
  <r>
    <x v="95"/>
    <n v="3546"/>
    <n v="3699"/>
    <s v="High Price"/>
    <n v="153"/>
    <n v="0.04"/>
    <s v="Low Discount"/>
    <s v="Unknown"/>
    <s v="Unknown"/>
    <s v="Unknown"/>
  </r>
  <r>
    <x v="96"/>
    <n v="525"/>
    <n v="1029"/>
    <s v="Low Price"/>
    <n v="504"/>
    <n v="0.49"/>
    <s v="High Discount"/>
    <s v="Unknown"/>
    <s v="Unknown"/>
    <s v="Unknown"/>
  </r>
  <r>
    <x v="97"/>
    <n v="1080"/>
    <n v="1874"/>
    <s v="Low Price"/>
    <n v="794"/>
    <n v="0.42"/>
    <s v="High Discount"/>
    <s v="Unknown"/>
    <s v="Unknown"/>
    <s v="Unknown"/>
  </r>
  <r>
    <x v="98"/>
    <n v="3640"/>
    <n v="4588"/>
    <s v="High Price"/>
    <n v="948"/>
    <n v="0.21"/>
    <s v="Medium Discount"/>
    <n v="1"/>
    <n v="5"/>
    <s v="Excellent"/>
  </r>
  <r>
    <x v="99"/>
    <n v="1420"/>
    <n v="2420"/>
    <s v="Low Price"/>
    <n v="1000"/>
    <n v="0.41"/>
    <s v="High Discount"/>
    <s v="Unknown"/>
    <s v="Unknown"/>
    <s v="Unknown"/>
  </r>
  <r>
    <x v="100"/>
    <n v="1875"/>
    <n v="1899"/>
    <s v="Low Price"/>
    <n v="24"/>
    <n v="0.01"/>
    <s v="Low Discount"/>
    <s v="Unknown"/>
    <s v="Unknown"/>
    <s v="Unknown"/>
  </r>
  <r>
    <x v="101"/>
    <n v="198"/>
    <n v="260"/>
    <s v="Low Price"/>
    <n v="62"/>
    <n v="0.24"/>
    <s v="Medium Discount"/>
    <s v="Unknown"/>
    <s v="Unknown"/>
    <s v="Unknown"/>
  </r>
  <r>
    <x v="102"/>
    <n v="1150"/>
    <n v="1737"/>
    <s v="Low Price"/>
    <n v="587"/>
    <n v="0.34"/>
    <s v="Medium Discount"/>
    <s v="Unknown"/>
    <s v="Unknown"/>
    <s v="Unknown"/>
  </r>
  <r>
    <x v="103"/>
    <n v="1190"/>
    <n v="1810"/>
    <s v="Low Price"/>
    <n v="620"/>
    <n v="0.34"/>
    <s v="Medium Discount"/>
    <s v="Unknown"/>
    <s v="Unknown"/>
    <s v="Unknown"/>
  </r>
  <r>
    <x v="104"/>
    <n v="1658"/>
    <n v="1699"/>
    <s v="Low Price"/>
    <n v="41"/>
    <n v="0.02"/>
    <s v="Low Discount"/>
    <s v="Unknown"/>
    <s v="Unknown"/>
    <s v="Unknown"/>
  </r>
  <r>
    <x v="105"/>
    <n v="1768"/>
    <n v="1799"/>
    <s v="Low Price"/>
    <n v="31"/>
    <n v="0.02"/>
    <s v="Low Discount"/>
    <s v="Unknown"/>
    <s v="Unknown"/>
    <s v="Unknown"/>
  </r>
  <r>
    <x v="106"/>
    <n v="199"/>
    <n v="553"/>
    <s v="Low Price"/>
    <n v="354"/>
    <n v="0.64"/>
    <s v="High Discount"/>
    <s v="Unknown"/>
    <s v="Unknown"/>
    <s v="Unknown"/>
  </r>
  <r>
    <x v="107"/>
    <n v="450"/>
    <n v="900"/>
    <s v="Low Price"/>
    <n v="450"/>
    <n v="0.5"/>
    <s v="High Discount"/>
    <n v="1"/>
    <n v="2"/>
    <s v="Poor"/>
  </r>
  <r>
    <x v="108"/>
    <n v="169"/>
    <n v="320"/>
    <s v="Low Price"/>
    <n v="151"/>
    <n v="0.47"/>
    <s v="High Discount"/>
    <s v="Unknown"/>
    <s v="Unknown"/>
    <s v="Unknown"/>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n v="575"/>
    <n v="0.38"/>
    <x v="0"/>
    <n v="2"/>
    <n v="4.5"/>
    <x v="0"/>
  </r>
  <r>
    <x v="1"/>
    <n v="527"/>
    <n v="999"/>
    <x v="0"/>
    <n v="472"/>
    <n v="0.47"/>
    <x v="1"/>
    <n v="14"/>
    <n v="4.0999999999999996"/>
    <x v="0"/>
  </r>
  <r>
    <x v="2"/>
    <n v="2199"/>
    <n v="2923"/>
    <x v="1"/>
    <n v="724"/>
    <n v="0.25"/>
    <x v="0"/>
    <n v="24"/>
    <n v="4.5999999999999996"/>
    <x v="1"/>
  </r>
  <r>
    <x v="3"/>
    <n v="1580"/>
    <n v="2499"/>
    <x v="0"/>
    <n v="919"/>
    <n v="0.37"/>
    <x v="0"/>
    <n v="7"/>
    <n v="4.7"/>
    <x v="1"/>
  </r>
  <r>
    <x v="4"/>
    <n v="1740"/>
    <n v="2356"/>
    <x v="0"/>
    <n v="616"/>
    <n v="0.26"/>
    <x v="0"/>
    <n v="5"/>
    <n v="4.8"/>
    <x v="1"/>
  </r>
  <r>
    <x v="5"/>
    <n v="2999"/>
    <n v="3290"/>
    <x v="1"/>
    <n v="291"/>
    <n v="0.09"/>
    <x v="2"/>
    <n v="15"/>
    <n v="4"/>
    <x v="0"/>
  </r>
  <r>
    <x v="6"/>
    <n v="2319"/>
    <n v="3032"/>
    <x v="1"/>
    <n v="713"/>
    <n v="0.24"/>
    <x v="0"/>
    <n v="55"/>
    <n v="4.5999999999999996"/>
    <x v="1"/>
  </r>
  <r>
    <x v="7"/>
    <n v="988"/>
    <n v="1580"/>
    <x v="0"/>
    <n v="592"/>
    <n v="0.37"/>
    <x v="0"/>
    <n v="2"/>
    <n v="4"/>
    <x v="0"/>
  </r>
  <r>
    <x v="8"/>
    <n v="1274"/>
    <n v="2800"/>
    <x v="0"/>
    <n v="1526"/>
    <n v="0.55000000000000004"/>
    <x v="1"/>
    <n v="5"/>
    <n v="4.8"/>
    <x v="1"/>
  </r>
  <r>
    <x v="9"/>
    <n v="1600"/>
    <n v="2929"/>
    <x v="0"/>
    <n v="1329"/>
    <n v="0.45"/>
    <x v="1"/>
    <n v="5"/>
    <n v="3.8"/>
    <x v="0"/>
  </r>
  <r>
    <x v="10"/>
    <n v="799"/>
    <n v="999"/>
    <x v="0"/>
    <n v="200"/>
    <n v="0.2"/>
    <x v="0"/>
    <n v="12"/>
    <n v="4.0999999999999996"/>
    <x v="0"/>
  </r>
  <r>
    <x v="11"/>
    <n v="990"/>
    <n v="1500"/>
    <x v="0"/>
    <n v="510"/>
    <n v="0.34"/>
    <x v="0"/>
    <n v="39"/>
    <n v="4.7"/>
    <x v="1"/>
  </r>
  <r>
    <x v="12"/>
    <n v="552"/>
    <n v="1035"/>
    <x v="0"/>
    <n v="483"/>
    <n v="0.47"/>
    <x v="1"/>
    <n v="12"/>
    <n v="4.8"/>
    <x v="1"/>
  </r>
  <r>
    <x v="13"/>
    <n v="501"/>
    <n v="860"/>
    <x v="0"/>
    <n v="359"/>
    <n v="0.42"/>
    <x v="1"/>
    <n v="6"/>
    <n v="4.5"/>
    <x v="0"/>
  </r>
  <r>
    <x v="14"/>
    <n v="1680"/>
    <n v="2499"/>
    <x v="0"/>
    <n v="819"/>
    <n v="0.33"/>
    <x v="0"/>
    <n v="9"/>
    <n v="4.2"/>
    <x v="0"/>
  </r>
  <r>
    <x v="15"/>
    <n v="332"/>
    <n v="684"/>
    <x v="0"/>
    <n v="352"/>
    <n v="0.51"/>
    <x v="1"/>
    <n v="2"/>
    <n v="5"/>
    <x v="1"/>
  </r>
  <r>
    <x v="16"/>
    <n v="195"/>
    <n v="360"/>
    <x v="0"/>
    <n v="165"/>
    <n v="0.46"/>
    <x v="1"/>
    <n v="2"/>
    <n v="5"/>
    <x v="1"/>
  </r>
  <r>
    <x v="17"/>
    <n v="2025"/>
    <n v="3971"/>
    <x v="1"/>
    <n v="1946"/>
    <n v="0.49"/>
    <x v="1"/>
    <n v="3"/>
    <n v="5"/>
    <x v="1"/>
  </r>
  <r>
    <x v="18"/>
    <n v="2999"/>
    <n v="3699"/>
    <x v="1"/>
    <n v="700"/>
    <n v="0.19"/>
    <x v="2"/>
    <n v="5"/>
    <n v="4.5999999999999996"/>
    <x v="1"/>
  </r>
  <r>
    <x v="19"/>
    <n v="998"/>
    <n v="1966"/>
    <x v="0"/>
    <n v="968"/>
    <n v="0.49"/>
    <x v="1"/>
    <n v="44"/>
    <n v="4.5999999999999996"/>
    <x v="1"/>
  </r>
  <r>
    <x v="20"/>
    <n v="38"/>
    <n v="80"/>
    <x v="0"/>
    <n v="42"/>
    <n v="0.53"/>
    <x v="1"/>
    <n v="13"/>
    <n v="3.3"/>
    <x v="0"/>
  </r>
  <r>
    <x v="21"/>
    <n v="1860"/>
    <n v="3220"/>
    <x v="0"/>
    <n v="1360"/>
    <n v="0.42"/>
    <x v="1"/>
    <s v="Unknown"/>
    <s v="Unknown"/>
    <x v="2"/>
  </r>
  <r>
    <x v="22"/>
    <n v="880"/>
    <n v="1350"/>
    <x v="0"/>
    <n v="470"/>
    <n v="0.35"/>
    <x v="0"/>
    <n v="6"/>
    <n v="4"/>
    <x v="0"/>
  </r>
  <r>
    <x v="23"/>
    <n v="1650"/>
    <n v="2150"/>
    <x v="0"/>
    <n v="500"/>
    <n v="0.23"/>
    <x v="0"/>
    <n v="14"/>
    <n v="4.4000000000000004"/>
    <x v="0"/>
  </r>
  <r>
    <x v="24"/>
    <n v="2048"/>
    <n v="4500"/>
    <x v="1"/>
    <n v="2452"/>
    <n v="0.54"/>
    <x v="1"/>
    <n v="7"/>
    <n v="4.3"/>
    <x v="0"/>
  </r>
  <r>
    <x v="25"/>
    <n v="420"/>
    <n v="647"/>
    <x v="0"/>
    <n v="227"/>
    <n v="0.35"/>
    <x v="0"/>
    <n v="49"/>
    <n v="4.5999999999999996"/>
    <x v="1"/>
  </r>
  <r>
    <x v="26"/>
    <n v="2880"/>
    <n v="3520"/>
    <x v="1"/>
    <n v="640"/>
    <n v="0.18"/>
    <x v="2"/>
    <n v="12"/>
    <n v="3.8"/>
    <x v="0"/>
  </r>
  <r>
    <x v="27"/>
    <n v="1350"/>
    <n v="1990"/>
    <x v="0"/>
    <n v="640"/>
    <n v="0.32"/>
    <x v="0"/>
    <n v="13"/>
    <n v="3.8"/>
    <x v="0"/>
  </r>
  <r>
    <x v="28"/>
    <n v="1758"/>
    <n v="2499"/>
    <x v="0"/>
    <n v="741"/>
    <n v="0.3"/>
    <x v="0"/>
    <n v="20"/>
    <n v="4.0999999999999996"/>
    <x v="0"/>
  </r>
  <r>
    <x v="29"/>
    <n v="2200"/>
    <n v="4080"/>
    <x v="1"/>
    <n v="1880"/>
    <n v="0.46"/>
    <x v="1"/>
    <s v="Unknown"/>
    <s v="Unknown"/>
    <x v="2"/>
  </r>
  <r>
    <x v="30"/>
    <n v="185"/>
    <n v="382"/>
    <x v="0"/>
    <n v="197"/>
    <n v="0.52"/>
    <x v="1"/>
    <n v="9"/>
    <n v="4.3"/>
    <x v="0"/>
  </r>
  <r>
    <x v="31"/>
    <n v="980"/>
    <n v="1490"/>
    <x v="0"/>
    <n v="510"/>
    <n v="0.34"/>
    <x v="0"/>
    <n v="12"/>
    <n v="4.7"/>
    <x v="1"/>
  </r>
  <r>
    <x v="32"/>
    <n v="1820"/>
    <n v="3490"/>
    <x v="0"/>
    <n v="1670"/>
    <n v="0.48"/>
    <x v="1"/>
    <n v="9"/>
    <n v="4.3"/>
    <x v="0"/>
  </r>
  <r>
    <x v="33"/>
    <n v="1940"/>
    <n v="2650"/>
    <x v="0"/>
    <n v="710"/>
    <n v="0.27"/>
    <x v="0"/>
    <n v="20"/>
    <n v="4.7"/>
    <x v="1"/>
  </r>
  <r>
    <x v="34"/>
    <n v="1980"/>
    <n v="2699"/>
    <x v="0"/>
    <n v="719"/>
    <n v="0.27"/>
    <x v="0"/>
    <n v="32"/>
    <n v="4.5"/>
    <x v="0"/>
  </r>
  <r>
    <x v="35"/>
    <n v="1620"/>
    <n v="2690"/>
    <x v="0"/>
    <n v="1070"/>
    <n v="0.4"/>
    <x v="0"/>
    <n v="1"/>
    <n v="5"/>
    <x v="1"/>
  </r>
  <r>
    <x v="36"/>
    <n v="171"/>
    <n v="360"/>
    <x v="0"/>
    <n v="189"/>
    <n v="0.53"/>
    <x v="1"/>
    <n v="2"/>
    <n v="5"/>
    <x v="1"/>
  </r>
  <r>
    <x v="37"/>
    <n v="389"/>
    <n v="656"/>
    <x v="0"/>
    <n v="267"/>
    <n v="0.41"/>
    <x v="1"/>
    <n v="36"/>
    <n v="4.3"/>
    <x v="0"/>
  </r>
  <r>
    <x v="38"/>
    <n v="1800"/>
    <n v="2700"/>
    <x v="0"/>
    <n v="900"/>
    <n v="0.38"/>
    <x v="0"/>
    <n v="2"/>
    <n v="4.5"/>
    <x v="0"/>
  </r>
  <r>
    <x v="39"/>
    <n v="2750"/>
    <n v="4471"/>
    <x v="1"/>
    <n v="1721"/>
    <n v="0.38"/>
    <x v="0"/>
    <s v="Unknown"/>
    <s v="Unknown"/>
    <x v="2"/>
  </r>
  <r>
    <x v="40"/>
    <n v="475"/>
    <n v="931"/>
    <x v="0"/>
    <n v="456"/>
    <n v="0.49"/>
    <x v="1"/>
    <s v="Unknown"/>
    <s v="Unknown"/>
    <x v="2"/>
  </r>
  <r>
    <x v="41"/>
    <n v="238"/>
    <n v="476"/>
    <x v="0"/>
    <n v="238"/>
    <n v="0.5"/>
    <x v="1"/>
    <s v="Unknown"/>
    <s v="Unknown"/>
    <x v="2"/>
  </r>
  <r>
    <x v="42"/>
    <n v="610"/>
    <n v="1060"/>
    <x v="0"/>
    <n v="450"/>
    <n v="0.42"/>
    <x v="1"/>
    <s v="Unknown"/>
    <s v="Unknown"/>
    <x v="2"/>
  </r>
  <r>
    <x v="43"/>
    <n v="2132"/>
    <n v="2169"/>
    <x v="1"/>
    <n v="37"/>
    <n v="0.02"/>
    <x v="2"/>
    <s v="Unknown"/>
    <s v="Unknown"/>
    <x v="2"/>
  </r>
  <r>
    <x v="44"/>
    <n v="999"/>
    <n v="2000"/>
    <x v="0"/>
    <n v="1001"/>
    <n v="0.5"/>
    <x v="1"/>
    <s v="Unknown"/>
    <s v="Unknown"/>
    <x v="2"/>
  </r>
  <r>
    <x v="45"/>
    <n v="1190"/>
    <n v="1785"/>
    <x v="0"/>
    <n v="595"/>
    <n v="0.33"/>
    <x v="0"/>
    <s v="Unknown"/>
    <s v="Unknown"/>
    <x v="2"/>
  </r>
  <r>
    <x v="46"/>
    <n v="671"/>
    <n v="1316"/>
    <x v="0"/>
    <n v="645"/>
    <n v="0.49"/>
    <x v="1"/>
    <s v="Unknown"/>
    <s v="Unknown"/>
    <x v="2"/>
  </r>
  <r>
    <x v="47"/>
    <n v="1200"/>
    <n v="1950"/>
    <x v="0"/>
    <n v="750"/>
    <n v="0.38"/>
    <x v="0"/>
    <s v="Unknown"/>
    <s v="Unknown"/>
    <x v="2"/>
  </r>
  <r>
    <x v="48"/>
    <n v="199"/>
    <n v="504"/>
    <x v="0"/>
    <n v="305"/>
    <n v="0.61"/>
    <x v="1"/>
    <s v="Unknown"/>
    <s v="Unknown"/>
    <x v="2"/>
  </r>
  <r>
    <x v="49"/>
    <n v="299"/>
    <n v="600"/>
    <x v="0"/>
    <n v="301"/>
    <n v="0.5"/>
    <x v="1"/>
    <s v="Unknown"/>
    <s v="Unknown"/>
    <x v="2"/>
  </r>
  <r>
    <x v="50"/>
    <n v="1660"/>
    <n v="1699"/>
    <x v="0"/>
    <n v="39"/>
    <n v="0.02"/>
    <x v="2"/>
    <s v="Unknown"/>
    <s v="Unknown"/>
    <x v="2"/>
  </r>
  <r>
    <x v="51"/>
    <n v="299"/>
    <n v="384"/>
    <x v="0"/>
    <n v="85"/>
    <n v="0.22"/>
    <x v="0"/>
    <s v="Unknown"/>
    <s v="Unknown"/>
    <x v="2"/>
  </r>
  <r>
    <x v="52"/>
    <n v="1459"/>
    <n v="1499"/>
    <x v="0"/>
    <n v="40"/>
    <n v="0.03"/>
    <x v="2"/>
    <s v="Unknown"/>
    <s v="Unknown"/>
    <x v="2"/>
  </r>
  <r>
    <x v="53"/>
    <n v="799"/>
    <n v="1343"/>
    <x v="0"/>
    <n v="544"/>
    <n v="0.41"/>
    <x v="1"/>
    <s v="Unknown"/>
    <s v="Unknown"/>
    <x v="2"/>
  </r>
  <r>
    <x v="54"/>
    <n v="499"/>
    <n v="900"/>
    <x v="0"/>
    <n v="401"/>
    <n v="0.45"/>
    <x v="1"/>
    <s v="Unknown"/>
    <s v="Unknown"/>
    <x v="2"/>
  </r>
  <r>
    <x v="55"/>
    <n v="699"/>
    <n v="1343"/>
    <x v="0"/>
    <n v="644"/>
    <n v="0.48"/>
    <x v="1"/>
    <s v="Unknown"/>
    <s v="Unknown"/>
    <x v="2"/>
  </r>
  <r>
    <x v="56"/>
    <n v="799"/>
    <n v="1567"/>
    <x v="0"/>
    <n v="768"/>
    <n v="0.49"/>
    <x v="1"/>
    <s v="Unknown"/>
    <s v="Unknown"/>
    <x v="2"/>
  </r>
  <r>
    <x v="57"/>
    <n v="2799"/>
    <n v="3810"/>
    <x v="1"/>
    <n v="1011"/>
    <n v="0.27"/>
    <x v="0"/>
    <s v="Unknown"/>
    <s v="Unknown"/>
    <x v="2"/>
  </r>
  <r>
    <x v="54"/>
    <n v="399"/>
    <n v="896"/>
    <x v="0"/>
    <n v="497"/>
    <n v="0.55000000000000004"/>
    <x v="1"/>
    <s v="Unknown"/>
    <s v="Unknown"/>
    <x v="2"/>
  </r>
  <r>
    <x v="58"/>
    <n v="2170"/>
    <n v="2500"/>
    <x v="1"/>
    <n v="330"/>
    <n v="0.13"/>
    <x v="2"/>
    <n v="6"/>
    <n v="2.5"/>
    <x v="3"/>
  </r>
  <r>
    <x v="59"/>
    <n v="458"/>
    <n v="986"/>
    <x v="0"/>
    <n v="528"/>
    <n v="0.54"/>
    <x v="1"/>
    <n v="10"/>
    <n v="3"/>
    <x v="0"/>
  </r>
  <r>
    <x v="60"/>
    <n v="2115"/>
    <n v="4700"/>
    <x v="1"/>
    <n v="2585"/>
    <n v="0.55000000000000004"/>
    <x v="1"/>
    <n v="13"/>
    <n v="2.1"/>
    <x v="3"/>
  </r>
  <r>
    <x v="61"/>
    <n v="445"/>
    <n v="873"/>
    <x v="0"/>
    <n v="428"/>
    <n v="0.49"/>
    <x v="1"/>
    <n v="69"/>
    <n v="2.8"/>
    <x v="3"/>
  </r>
  <r>
    <x v="62"/>
    <n v="325"/>
    <n v="680"/>
    <x v="0"/>
    <n v="355"/>
    <n v="0.52"/>
    <x v="1"/>
    <n v="15"/>
    <n v="2.7"/>
    <x v="3"/>
  </r>
  <r>
    <x v="63"/>
    <n v="1220"/>
    <n v="1555"/>
    <x v="0"/>
    <n v="335"/>
    <n v="0.22"/>
    <x v="0"/>
    <n v="16"/>
    <n v="2.9"/>
    <x v="3"/>
  </r>
  <r>
    <x v="64"/>
    <n v="990"/>
    <n v="1814"/>
    <x v="0"/>
    <n v="824"/>
    <n v="0.45"/>
    <x v="1"/>
    <n v="6"/>
    <n v="2.2000000000000002"/>
    <x v="3"/>
  </r>
  <r>
    <x v="65"/>
    <n v="1000"/>
    <n v="2000"/>
    <x v="0"/>
    <n v="1000"/>
    <n v="0.5"/>
    <x v="1"/>
    <n v="7"/>
    <n v="2.2999999999999998"/>
    <x v="3"/>
  </r>
  <r>
    <x v="66"/>
    <n v="3750"/>
    <n v="6143"/>
    <x v="2"/>
    <n v="2393"/>
    <n v="0.39"/>
    <x v="0"/>
    <n v="5"/>
    <n v="3"/>
    <x v="0"/>
  </r>
  <r>
    <x v="67"/>
    <n v="382"/>
    <n v="700"/>
    <x v="0"/>
    <n v="318"/>
    <n v="0.45"/>
    <x v="1"/>
    <n v="17"/>
    <n v="2.6"/>
    <x v="3"/>
  </r>
  <r>
    <x v="68"/>
    <n v="2300"/>
    <n v="3240"/>
    <x v="1"/>
    <n v="940"/>
    <n v="0.28999999999999998"/>
    <x v="0"/>
    <n v="5"/>
    <n v="3"/>
    <x v="0"/>
  </r>
  <r>
    <x v="69"/>
    <n v="345"/>
    <n v="602"/>
    <x v="0"/>
    <n v="257"/>
    <n v="0.43"/>
    <x v="1"/>
    <n v="6"/>
    <n v="2.2999999999999998"/>
    <x v="3"/>
  </r>
  <r>
    <x v="70"/>
    <n v="509"/>
    <n v="899"/>
    <x v="0"/>
    <n v="390"/>
    <n v="0.43"/>
    <x v="1"/>
    <n v="5"/>
    <n v="3"/>
    <x v="0"/>
  </r>
  <r>
    <x v="71"/>
    <n v="968"/>
    <n v="1814"/>
    <x v="0"/>
    <n v="846"/>
    <n v="0.47"/>
    <x v="1"/>
    <n v="6"/>
    <n v="2.2000000000000002"/>
    <x v="3"/>
  </r>
  <r>
    <x v="72"/>
    <n v="1570"/>
    <n v="2988"/>
    <x v="0"/>
    <n v="1418"/>
    <n v="0.47"/>
    <x v="1"/>
    <n v="7"/>
    <n v="2.1"/>
    <x v="3"/>
  </r>
  <r>
    <x v="73"/>
    <n v="790"/>
    <n v="1485"/>
    <x v="0"/>
    <n v="695"/>
    <n v="0.47"/>
    <x v="1"/>
    <s v="Unknown"/>
    <s v="Unknown"/>
    <x v="2"/>
  </r>
  <r>
    <x v="74"/>
    <n v="690"/>
    <n v="1200"/>
    <x v="0"/>
    <n v="510"/>
    <n v="0.43"/>
    <x v="1"/>
    <s v="Unknown"/>
    <s v="Unknown"/>
    <x v="2"/>
  </r>
  <r>
    <x v="75"/>
    <n v="1732"/>
    <n v="1799"/>
    <x v="0"/>
    <n v="67"/>
    <n v="0.04"/>
    <x v="2"/>
    <s v="Unknown"/>
    <s v="Unknown"/>
    <x v="2"/>
  </r>
  <r>
    <x v="76"/>
    <n v="230"/>
    <n v="450"/>
    <x v="0"/>
    <n v="220"/>
    <n v="0.49"/>
    <x v="1"/>
    <s v="Unknown"/>
    <s v="Unknown"/>
    <x v="2"/>
  </r>
  <r>
    <x v="77"/>
    <n v="1189"/>
    <n v="2199"/>
    <x v="0"/>
    <n v="1010"/>
    <n v="0.46"/>
    <x v="1"/>
    <n v="1"/>
    <n v="3"/>
    <x v="0"/>
  </r>
  <r>
    <x v="78"/>
    <n v="979"/>
    <n v="1920"/>
    <x v="0"/>
    <n v="941"/>
    <n v="0.49"/>
    <x v="1"/>
    <n v="1"/>
    <n v="5"/>
    <x v="1"/>
  </r>
  <r>
    <x v="79"/>
    <n v="1460"/>
    <n v="2290"/>
    <x v="0"/>
    <n v="830"/>
    <n v="0.36"/>
    <x v="0"/>
    <s v="Unknown"/>
    <s v="Unknown"/>
    <x v="2"/>
  </r>
  <r>
    <x v="80"/>
    <n v="1666"/>
    <n v="1699"/>
    <x v="0"/>
    <n v="33"/>
    <n v="0.02"/>
    <x v="2"/>
    <s v="Unknown"/>
    <s v="Unknown"/>
    <x v="2"/>
  </r>
  <r>
    <x v="81"/>
    <n v="330"/>
    <n v="647"/>
    <x v="0"/>
    <n v="317"/>
    <n v="0.49"/>
    <x v="1"/>
    <n v="1"/>
    <n v="4"/>
    <x v="0"/>
  </r>
  <r>
    <x v="48"/>
    <n v="176"/>
    <n v="345"/>
    <x v="0"/>
    <n v="169"/>
    <n v="0.49"/>
    <x v="1"/>
    <s v="Unknown"/>
    <s v="Unknown"/>
    <x v="2"/>
  </r>
  <r>
    <x v="82"/>
    <n v="1466"/>
    <n v="1699"/>
    <x v="0"/>
    <n v="233"/>
    <n v="0.14000000000000001"/>
    <x v="2"/>
    <s v="Unknown"/>
    <s v="Unknown"/>
    <x v="2"/>
  </r>
  <r>
    <x v="83"/>
    <n v="274"/>
    <n v="537"/>
    <x v="0"/>
    <n v="263"/>
    <n v="0.49"/>
    <x v="1"/>
    <s v="Unknown"/>
    <s v="Unknown"/>
    <x v="2"/>
  </r>
  <r>
    <x v="84"/>
    <n v="799"/>
    <n v="900"/>
    <x v="0"/>
    <n v="101"/>
    <n v="0.11"/>
    <x v="2"/>
    <s v="Unknown"/>
    <s v="Unknown"/>
    <x v="2"/>
  </r>
  <r>
    <x v="56"/>
    <n v="657"/>
    <n v="1288"/>
    <x v="0"/>
    <n v="631"/>
    <n v="0.49"/>
    <x v="1"/>
    <s v="Unknown"/>
    <s v="Unknown"/>
    <x v="2"/>
  </r>
  <r>
    <x v="85"/>
    <n v="1468"/>
    <n v="1699"/>
    <x v="0"/>
    <n v="231"/>
    <n v="0.14000000000000001"/>
    <x v="2"/>
    <s v="Unknown"/>
    <s v="Unknown"/>
    <x v="2"/>
  </r>
  <r>
    <x v="86"/>
    <n v="630"/>
    <n v="1100"/>
    <x v="0"/>
    <n v="470"/>
    <n v="0.43"/>
    <x v="1"/>
    <s v="Unknown"/>
    <s v="Unknown"/>
    <x v="2"/>
  </r>
  <r>
    <x v="87"/>
    <n v="850"/>
    <n v="1700"/>
    <x v="0"/>
    <n v="850"/>
    <n v="0.5"/>
    <x v="1"/>
    <s v="Unknown"/>
    <s v="Unknown"/>
    <x v="2"/>
  </r>
  <r>
    <x v="88"/>
    <n v="1300"/>
    <n v="2500"/>
    <x v="0"/>
    <n v="1200"/>
    <n v="0.48"/>
    <x v="1"/>
    <s v="Unknown"/>
    <s v="Unknown"/>
    <x v="2"/>
  </r>
  <r>
    <x v="89"/>
    <n v="105"/>
    <n v="200"/>
    <x v="0"/>
    <n v="95"/>
    <n v="0.48"/>
    <x v="1"/>
    <s v="Unknown"/>
    <s v="Unknown"/>
    <x v="2"/>
  </r>
  <r>
    <x v="90"/>
    <n v="899"/>
    <n v="1699"/>
    <x v="0"/>
    <n v="800"/>
    <n v="0.47"/>
    <x v="1"/>
    <s v="Unknown"/>
    <s v="Unknown"/>
    <x v="2"/>
  </r>
  <r>
    <x v="91"/>
    <n v="1200"/>
    <n v="2400"/>
    <x v="0"/>
    <n v="1200"/>
    <n v="0.5"/>
    <x v="1"/>
    <s v="Unknown"/>
    <s v="Unknown"/>
    <x v="2"/>
  </r>
  <r>
    <x v="92"/>
    <n v="1526"/>
    <n v="1660"/>
    <x v="0"/>
    <n v="134"/>
    <n v="0.08"/>
    <x v="2"/>
    <s v="Unknown"/>
    <s v="Unknown"/>
    <x v="2"/>
  </r>
  <r>
    <x v="93"/>
    <n v="1462"/>
    <n v="1499"/>
    <x v="0"/>
    <n v="37"/>
    <n v="0.02"/>
    <x v="2"/>
    <s v="Unknown"/>
    <s v="Unknown"/>
    <x v="2"/>
  </r>
  <r>
    <x v="94"/>
    <n v="248"/>
    <n v="486"/>
    <x v="0"/>
    <n v="238"/>
    <n v="0.49"/>
    <x v="1"/>
    <s v="Unknown"/>
    <s v="Unknown"/>
    <x v="2"/>
  </r>
  <r>
    <x v="95"/>
    <n v="3546"/>
    <n v="3699"/>
    <x v="2"/>
    <n v="153"/>
    <n v="0.04"/>
    <x v="2"/>
    <s v="Unknown"/>
    <s v="Unknown"/>
    <x v="2"/>
  </r>
  <r>
    <x v="96"/>
    <n v="525"/>
    <n v="1029"/>
    <x v="0"/>
    <n v="504"/>
    <n v="0.49"/>
    <x v="1"/>
    <s v="Unknown"/>
    <s v="Unknown"/>
    <x v="2"/>
  </r>
  <r>
    <x v="97"/>
    <n v="1080"/>
    <n v="1874"/>
    <x v="0"/>
    <n v="794"/>
    <n v="0.42"/>
    <x v="1"/>
    <s v="Unknown"/>
    <s v="Unknown"/>
    <x v="2"/>
  </r>
  <r>
    <x v="98"/>
    <n v="3640"/>
    <n v="4588"/>
    <x v="2"/>
    <n v="948"/>
    <n v="0.21"/>
    <x v="0"/>
    <n v="1"/>
    <n v="5"/>
    <x v="1"/>
  </r>
  <r>
    <x v="99"/>
    <n v="1420"/>
    <n v="2420"/>
    <x v="0"/>
    <n v="1000"/>
    <n v="0.41"/>
    <x v="1"/>
    <s v="Unknown"/>
    <s v="Unknown"/>
    <x v="2"/>
  </r>
  <r>
    <x v="100"/>
    <n v="1875"/>
    <n v="1899"/>
    <x v="0"/>
    <n v="24"/>
    <n v="0.01"/>
    <x v="2"/>
    <s v="Unknown"/>
    <s v="Unknown"/>
    <x v="2"/>
  </r>
  <r>
    <x v="101"/>
    <n v="198"/>
    <n v="260"/>
    <x v="0"/>
    <n v="62"/>
    <n v="0.24"/>
    <x v="0"/>
    <s v="Unknown"/>
    <s v="Unknown"/>
    <x v="2"/>
  </r>
  <r>
    <x v="102"/>
    <n v="1150"/>
    <n v="1737"/>
    <x v="0"/>
    <n v="587"/>
    <n v="0.34"/>
    <x v="0"/>
    <s v="Unknown"/>
    <s v="Unknown"/>
    <x v="2"/>
  </r>
  <r>
    <x v="103"/>
    <n v="1190"/>
    <n v="1810"/>
    <x v="0"/>
    <n v="620"/>
    <n v="0.34"/>
    <x v="0"/>
    <s v="Unknown"/>
    <s v="Unknown"/>
    <x v="2"/>
  </r>
  <r>
    <x v="104"/>
    <n v="1658"/>
    <n v="1699"/>
    <x v="0"/>
    <n v="41"/>
    <n v="0.02"/>
    <x v="2"/>
    <s v="Unknown"/>
    <s v="Unknown"/>
    <x v="2"/>
  </r>
  <r>
    <x v="105"/>
    <n v="1768"/>
    <n v="1799"/>
    <x v="0"/>
    <n v="31"/>
    <n v="0.02"/>
    <x v="2"/>
    <s v="Unknown"/>
    <s v="Unknown"/>
    <x v="2"/>
  </r>
  <r>
    <x v="106"/>
    <n v="199"/>
    <n v="553"/>
    <x v="0"/>
    <n v="354"/>
    <n v="0.64"/>
    <x v="1"/>
    <s v="Unknown"/>
    <s v="Unknown"/>
    <x v="2"/>
  </r>
  <r>
    <x v="107"/>
    <n v="450"/>
    <n v="900"/>
    <x v="0"/>
    <n v="450"/>
    <n v="0.5"/>
    <x v="1"/>
    <n v="1"/>
    <n v="2"/>
    <x v="3"/>
  </r>
  <r>
    <x v="108"/>
    <n v="169"/>
    <n v="320"/>
    <x v="0"/>
    <n v="151"/>
    <n v="0.47"/>
    <x v="1"/>
    <s v="Unknown"/>
    <s v="Unknown"/>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F5E4AA-6351-4E22-9283-E10ECF0C1935}" name="PivotTable1"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0">
    <pivotField showAll="0"/>
    <pivotField numFmtId="165" showAll="0"/>
    <pivotField numFmtId="165" showAll="0"/>
    <pivotField showAll="0"/>
    <pivotField numFmtId="164" showAll="0"/>
    <pivotField numFmtId="9" showAll="0"/>
    <pivotField axis="axisRow" showAll="0">
      <items count="4">
        <item x="1"/>
        <item x="2"/>
        <item x="0"/>
        <item t="default"/>
      </items>
    </pivotField>
    <pivotField dataField="1" showAll="0"/>
    <pivotField showAll="0"/>
    <pivotField showAll="0">
      <items count="5">
        <item x="0"/>
        <item x="1"/>
        <item x="3"/>
        <item x="2"/>
        <item t="default"/>
      </items>
    </pivotField>
  </pivotFields>
  <rowFields count="1">
    <field x="6"/>
  </rowFields>
  <rowItems count="4">
    <i>
      <x/>
    </i>
    <i>
      <x v="1"/>
    </i>
    <i>
      <x v="2"/>
    </i>
    <i t="grand">
      <x/>
    </i>
  </rowItems>
  <colItems count="1">
    <i/>
  </colItems>
  <dataFields count="1">
    <dataField name="Average of Review" fld="7" subtotal="average"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40EF4D-587C-474D-8B86-81B4209D62B0}" name="PivotTable2"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8" firstHeaderRow="1" firstDataRow="1" firstDataCol="1"/>
  <pivotFields count="10">
    <pivotField showAll="0"/>
    <pivotField numFmtId="165" showAll="0"/>
    <pivotField numFmtId="165" showAll="0"/>
    <pivotField showAll="0">
      <items count="4">
        <item x="2"/>
        <item x="0"/>
        <item x="1"/>
        <item t="default"/>
      </items>
    </pivotField>
    <pivotField numFmtId="164" showAll="0"/>
    <pivotField numFmtId="9" showAll="0"/>
    <pivotField showAll="0">
      <items count="4">
        <item x="1"/>
        <item x="2"/>
        <item x="0"/>
        <item t="default"/>
      </items>
    </pivotField>
    <pivotField dataField="1" showAll="0"/>
    <pivotField showAll="0"/>
    <pivotField axis="axisRow" showAll="0">
      <items count="5">
        <item x="0"/>
        <item x="1"/>
        <item x="3"/>
        <item x="2"/>
        <item t="default"/>
      </items>
    </pivotField>
  </pivotFields>
  <rowFields count="1">
    <field x="9"/>
  </rowFields>
  <rowItems count="5">
    <i>
      <x/>
    </i>
    <i>
      <x v="1"/>
    </i>
    <i>
      <x v="2"/>
    </i>
    <i>
      <x v="3"/>
    </i>
    <i t="grand">
      <x/>
    </i>
  </rowItems>
  <colItems count="1">
    <i/>
  </colItems>
  <dataFields count="1">
    <dataField name="Average of Review" fld="7" subtotal="average"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0D002D-8AD7-4D68-A22F-A642D0267F50}" name="PivotTable4"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10">
    <pivotField showAll="0"/>
    <pivotField numFmtId="165" showAll="0"/>
    <pivotField numFmtId="165" showAll="0"/>
    <pivotField axis="axisRow" showAll="0">
      <items count="4">
        <item x="2"/>
        <item x="0"/>
        <item x="1"/>
        <item t="default"/>
      </items>
    </pivotField>
    <pivotField numFmtId="164" showAll="0"/>
    <pivotField numFmtId="9" showAll="0"/>
    <pivotField showAll="0">
      <items count="4">
        <item x="1"/>
        <item x="2"/>
        <item x="0"/>
        <item t="default"/>
      </items>
    </pivotField>
    <pivotField showAll="0"/>
    <pivotField dataField="1" showAll="0"/>
    <pivotField showAll="0">
      <items count="5">
        <item x="0"/>
        <item x="1"/>
        <item x="3"/>
        <item x="2"/>
        <item t="default"/>
      </items>
    </pivotField>
  </pivotFields>
  <rowFields count="1">
    <field x="3"/>
  </rowFields>
  <rowItems count="4">
    <i>
      <x/>
    </i>
    <i>
      <x v="1"/>
    </i>
    <i>
      <x v="2"/>
    </i>
    <i t="grand">
      <x/>
    </i>
  </rowItems>
  <colItems count="1">
    <i/>
  </colItems>
  <dataFields count="1">
    <dataField name="Average of Rating" fld="8" subtotal="average"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505229-3CDD-4377-B7AE-020D589F9B0C}" name="PivotTable3"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3" firstHeaderRow="1" firstDataRow="1" firstDataCol="1"/>
  <pivotFields count="10">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items count="4">
        <item x="2"/>
        <item x="0"/>
        <item x="1"/>
        <item t="default"/>
      </items>
    </pivotField>
    <pivotField numFmtId="164" showAll="0"/>
    <pivotField numFmtId="9" showAll="0"/>
    <pivotField showAll="0">
      <items count="4">
        <item x="1"/>
        <item x="2"/>
        <item x="0"/>
        <item t="default"/>
      </items>
    </pivotField>
    <pivotField showAll="0"/>
    <pivotField dataField="1" showAll="0"/>
    <pivotField showAll="0">
      <items count="5">
        <item x="0"/>
        <item x="1"/>
        <item x="3"/>
        <item x="2"/>
        <item t="default"/>
      </items>
    </pivotField>
  </pivotFields>
  <rowFields count="1">
    <field x="0"/>
  </rowFields>
  <rowItems count="110">
    <i>
      <x v="52"/>
    </i>
    <i>
      <x v="68"/>
    </i>
    <i>
      <x v="65"/>
    </i>
    <i>
      <x v="40"/>
    </i>
    <i>
      <x v="87"/>
    </i>
    <i>
      <x v="44"/>
    </i>
    <i>
      <x v="57"/>
    </i>
    <i>
      <x v="22"/>
    </i>
    <i>
      <x v="90"/>
    </i>
    <i>
      <x v="70"/>
    </i>
    <i>
      <x v="4"/>
    </i>
    <i>
      <x v="1"/>
    </i>
    <i>
      <x v="28"/>
    </i>
    <i>
      <x v="107"/>
    </i>
    <i>
      <x v="8"/>
    </i>
    <i>
      <x v="75"/>
    </i>
    <i>
      <x v="18"/>
    </i>
    <i>
      <x v="91"/>
    </i>
    <i>
      <x v="59"/>
    </i>
    <i>
      <x v="27"/>
    </i>
    <i>
      <x v="69"/>
    </i>
    <i>
      <x/>
    </i>
    <i>
      <x v="2"/>
    </i>
    <i>
      <x v="61"/>
    </i>
    <i>
      <x v="72"/>
    </i>
    <i>
      <x v="95"/>
    </i>
    <i>
      <x v="67"/>
    </i>
    <i>
      <x v="60"/>
    </i>
    <i>
      <x v="80"/>
    </i>
    <i>
      <x v="77"/>
    </i>
    <i>
      <x v="26"/>
    </i>
    <i>
      <x v="62"/>
    </i>
    <i>
      <x v="56"/>
    </i>
    <i>
      <x v="63"/>
    </i>
    <i>
      <x v="11"/>
    </i>
    <i>
      <x v="73"/>
    </i>
    <i>
      <x v="7"/>
    </i>
    <i>
      <x v="93"/>
    </i>
    <i>
      <x v="3"/>
    </i>
    <i>
      <x v="20"/>
    </i>
    <i>
      <x v="84"/>
    </i>
    <i>
      <x v="66"/>
    </i>
    <i>
      <x v="16"/>
    </i>
    <i>
      <x v="76"/>
    </i>
    <i>
      <x v="108"/>
    </i>
    <i>
      <x v="101"/>
    </i>
    <i>
      <x v="5"/>
    </i>
    <i>
      <x v="64"/>
    </i>
    <i>
      <x v="38"/>
    </i>
    <i>
      <x v="25"/>
    </i>
    <i>
      <x v="106"/>
    </i>
    <i>
      <x v="17"/>
    </i>
    <i>
      <x v="41"/>
    </i>
    <i>
      <x v="35"/>
    </i>
    <i>
      <x v="58"/>
    </i>
    <i>
      <x v="30"/>
    </i>
    <i>
      <x v="104"/>
    </i>
    <i>
      <x v="88"/>
    </i>
    <i>
      <x v="19"/>
    </i>
    <i>
      <x v="96"/>
    </i>
    <i>
      <x v="55"/>
    </i>
    <i>
      <x v="39"/>
    </i>
    <i>
      <x v="47"/>
    </i>
    <i>
      <x v="92"/>
    </i>
    <i>
      <x v="23"/>
    </i>
    <i>
      <x v="100"/>
    </i>
    <i>
      <x v="24"/>
    </i>
    <i>
      <x v="82"/>
    </i>
    <i>
      <x v="48"/>
    </i>
    <i>
      <x v="86"/>
    </i>
    <i>
      <x v="12"/>
    </i>
    <i>
      <x v="51"/>
    </i>
    <i>
      <x v="49"/>
    </i>
    <i>
      <x v="94"/>
    </i>
    <i>
      <x v="13"/>
    </i>
    <i>
      <x v="98"/>
    </i>
    <i>
      <x v="14"/>
    </i>
    <i>
      <x v="102"/>
    </i>
    <i>
      <x v="29"/>
    </i>
    <i>
      <x v="81"/>
    </i>
    <i>
      <x v="10"/>
    </i>
    <i>
      <x v="83"/>
    </i>
    <i>
      <x v="31"/>
    </i>
    <i>
      <x v="85"/>
    </i>
    <i>
      <x v="32"/>
    </i>
    <i>
      <x v="15"/>
    </i>
    <i>
      <x v="71"/>
    </i>
    <i>
      <x v="89"/>
    </i>
    <i>
      <x v="33"/>
    </i>
    <i>
      <x v="42"/>
    </i>
    <i>
      <x v="34"/>
    </i>
    <i>
      <x v="43"/>
    </i>
    <i>
      <x v="74"/>
    </i>
    <i>
      <x v="6"/>
    </i>
    <i>
      <x v="45"/>
    </i>
    <i>
      <x v="97"/>
    </i>
    <i>
      <x v="36"/>
    </i>
    <i>
      <x v="99"/>
    </i>
    <i>
      <x v="37"/>
    </i>
    <i>
      <x v="46"/>
    </i>
    <i>
      <x v="103"/>
    </i>
    <i>
      <x v="21"/>
    </i>
    <i>
      <x v="105"/>
    </i>
    <i>
      <x v="78"/>
    </i>
    <i>
      <x v="9"/>
    </i>
    <i>
      <x v="79"/>
    </i>
    <i>
      <x v="50"/>
    </i>
    <i>
      <x v="53"/>
    </i>
    <i>
      <x v="54"/>
    </i>
    <i t="grand">
      <x/>
    </i>
  </rowItems>
  <colItems count="1">
    <i/>
  </colItems>
  <dataFields count="1">
    <dataField name="Average of Rating"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B86529-DB4A-41A7-A8A7-2154C81B570F}" name="PivotTable5"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3" firstHeaderRow="1" firstDataRow="1" firstDataCol="1"/>
  <pivotFields count="10">
    <pivotField axis="axisRow" showAll="0"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4" showAll="0"/>
    <pivotField numFmtId="9" showAll="0"/>
    <pivotField showAll="0"/>
    <pivotField showAll="0"/>
    <pivotField dataField="1" showAll="0"/>
    <pivotField showAll="0"/>
  </pivotFields>
  <rowFields count="1">
    <field x="0"/>
  </rowFields>
  <rowItems count="110">
    <i>
      <x v="104"/>
    </i>
    <i>
      <x v="58"/>
    </i>
    <i>
      <x v="30"/>
    </i>
    <i>
      <x v="35"/>
    </i>
    <i>
      <x v="41"/>
    </i>
    <i>
      <x v="17"/>
    </i>
    <i>
      <x v="106"/>
    </i>
    <i>
      <x v="25"/>
    </i>
    <i>
      <x v="38"/>
    </i>
    <i>
      <x v="64"/>
    </i>
    <i>
      <x v="5"/>
    </i>
    <i>
      <x v="101"/>
    </i>
    <i>
      <x v="108"/>
    </i>
    <i>
      <x v="16"/>
    </i>
    <i>
      <x v="84"/>
    </i>
    <i>
      <x v="76"/>
    </i>
    <i>
      <x v="66"/>
    </i>
    <i>
      <x v="20"/>
    </i>
    <i>
      <x v="7"/>
    </i>
    <i>
      <x v="3"/>
    </i>
    <i>
      <x v="93"/>
    </i>
    <i>
      <x v="73"/>
    </i>
    <i>
      <x v="56"/>
    </i>
    <i>
      <x v="11"/>
    </i>
    <i>
      <x v="63"/>
    </i>
    <i>
      <x v="26"/>
    </i>
    <i>
      <x v="62"/>
    </i>
    <i>
      <x v="77"/>
    </i>
    <i>
      <x v="80"/>
    </i>
    <i>
      <x v="67"/>
    </i>
    <i>
      <x v="72"/>
    </i>
    <i>
      <x v="60"/>
    </i>
    <i>
      <x v="95"/>
    </i>
    <i>
      <x v="61"/>
    </i>
    <i>
      <x/>
    </i>
    <i>
      <x v="69"/>
    </i>
    <i>
      <x v="2"/>
    </i>
    <i>
      <x v="27"/>
    </i>
    <i>
      <x v="59"/>
    </i>
    <i>
      <x v="18"/>
    </i>
    <i>
      <x v="75"/>
    </i>
    <i>
      <x v="91"/>
    </i>
    <i>
      <x v="8"/>
    </i>
    <i>
      <x v="28"/>
    </i>
    <i>
      <x v="4"/>
    </i>
    <i>
      <x v="107"/>
    </i>
    <i>
      <x v="1"/>
    </i>
    <i>
      <x v="70"/>
    </i>
    <i>
      <x v="22"/>
    </i>
    <i>
      <x v="90"/>
    </i>
    <i>
      <x v="87"/>
    </i>
    <i>
      <x v="57"/>
    </i>
    <i>
      <x v="52"/>
    </i>
    <i>
      <x v="40"/>
    </i>
    <i>
      <x v="68"/>
    </i>
    <i>
      <x v="65"/>
    </i>
    <i>
      <x v="44"/>
    </i>
    <i>
      <x v="54"/>
    </i>
    <i>
      <x v="83"/>
    </i>
    <i>
      <x v="10"/>
    </i>
    <i>
      <x v="47"/>
    </i>
    <i>
      <x v="6"/>
    </i>
    <i>
      <x v="85"/>
    </i>
    <i>
      <x v="32"/>
    </i>
    <i>
      <x v="86"/>
    </i>
    <i>
      <x v="34"/>
    </i>
    <i>
      <x v="48"/>
    </i>
    <i>
      <x v="36"/>
    </i>
    <i>
      <x v="88"/>
    </i>
    <i>
      <x v="12"/>
    </i>
    <i>
      <x v="89"/>
    </i>
    <i>
      <x v="21"/>
    </i>
    <i>
      <x v="49"/>
    </i>
    <i>
      <x v="13"/>
    </i>
    <i>
      <x v="50"/>
    </i>
    <i>
      <x v="74"/>
    </i>
    <i>
      <x v="92"/>
    </i>
    <i>
      <x v="23"/>
    </i>
    <i>
      <x v="51"/>
    </i>
    <i>
      <x v="78"/>
    </i>
    <i>
      <x v="94"/>
    </i>
    <i>
      <x v="46"/>
    </i>
    <i>
      <x v="24"/>
    </i>
    <i>
      <x v="82"/>
    </i>
    <i>
      <x v="96"/>
    </i>
    <i>
      <x v="31"/>
    </i>
    <i>
      <x v="97"/>
    </i>
    <i>
      <x v="19"/>
    </i>
    <i>
      <x v="98"/>
    </i>
    <i>
      <x v="39"/>
    </i>
    <i>
      <x v="99"/>
    </i>
    <i>
      <x v="42"/>
    </i>
    <i>
      <x v="100"/>
    </i>
    <i>
      <x v="45"/>
    </i>
    <i>
      <x v="53"/>
    </i>
    <i>
      <x v="81"/>
    </i>
    <i>
      <x v="102"/>
    </i>
    <i>
      <x v="33"/>
    </i>
    <i>
      <x v="103"/>
    </i>
    <i>
      <x v="71"/>
    </i>
    <i>
      <x v="14"/>
    </i>
    <i>
      <x v="79"/>
    </i>
    <i>
      <x v="105"/>
    </i>
    <i>
      <x v="37"/>
    </i>
    <i>
      <x v="55"/>
    </i>
    <i>
      <x v="29"/>
    </i>
    <i>
      <x v="15"/>
    </i>
    <i>
      <x v="43"/>
    </i>
    <i>
      <x v="9"/>
    </i>
    <i t="grand">
      <x/>
    </i>
  </rowItems>
  <colItems count="1">
    <i/>
  </colItems>
  <dataFields count="1">
    <dataField name="Average of Rating"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FC5A1E-5EB1-4ECB-8BCF-C00B79097DE9}" name="PivotTable18"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0">
    <pivotField dataField="1" showAll="0"/>
    <pivotField numFmtId="165" showAll="0"/>
    <pivotField numFmtId="165" showAll="0"/>
    <pivotField axis="axisRow" showAll="0">
      <items count="4">
        <item x="2"/>
        <item x="0"/>
        <item x="1"/>
        <item t="default"/>
      </items>
    </pivotField>
    <pivotField numFmtId="164" showAll="0"/>
    <pivotField numFmtId="9" showAll="0"/>
    <pivotField showAll="0">
      <items count="4">
        <item x="1"/>
        <item x="2"/>
        <item x="0"/>
        <item t="default"/>
      </items>
    </pivotField>
    <pivotField showAll="0"/>
    <pivotField showAll="0"/>
    <pivotField showAll="0">
      <items count="5">
        <item x="0"/>
        <item x="1"/>
        <item x="3"/>
        <item x="2"/>
        <item t="default"/>
      </items>
    </pivotField>
  </pivotFields>
  <rowFields count="1">
    <field x="3"/>
  </rowFields>
  <rowItems count="4">
    <i>
      <x/>
    </i>
    <i>
      <x v="1"/>
    </i>
    <i>
      <x v="2"/>
    </i>
    <i t="grand">
      <x/>
    </i>
  </rowItems>
  <colItems count="1">
    <i/>
  </colItems>
  <dataFields count="1">
    <dataField name="Count of Product" fld="0"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3845AF-3CF2-485C-ADDC-21BF45A8EA89}" name="PivotTable16"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10">
    <pivotField dataField="1" showAll="0"/>
    <pivotField numFmtId="165" showAll="0"/>
    <pivotField numFmtId="165" showAll="0"/>
    <pivotField showAll="0">
      <items count="4">
        <item x="2"/>
        <item x="0"/>
        <item x="1"/>
        <item t="default"/>
      </items>
    </pivotField>
    <pivotField numFmtId="164" showAll="0"/>
    <pivotField numFmtId="9" showAll="0"/>
    <pivotField showAll="0">
      <items count="4">
        <item x="1"/>
        <item x="2"/>
        <item x="0"/>
        <item t="default"/>
      </items>
    </pivotField>
    <pivotField showAll="0"/>
    <pivotField showAll="0"/>
    <pivotField axis="axisRow" showAll="0">
      <items count="5">
        <item x="0"/>
        <item x="1"/>
        <item x="3"/>
        <item x="2"/>
        <item t="default"/>
      </items>
    </pivotField>
  </pivotFields>
  <rowFields count="1">
    <field x="9"/>
  </rowFields>
  <rowItems count="5">
    <i>
      <x/>
    </i>
    <i>
      <x v="1"/>
    </i>
    <i>
      <x v="2"/>
    </i>
    <i>
      <x v="3"/>
    </i>
    <i t="grand">
      <x/>
    </i>
  </rowItems>
  <colItems count="1">
    <i/>
  </colItems>
  <dataFields count="1">
    <dataField name="Count of Product" fld="0" subtotal="count" baseField="0" baseItem="0"/>
  </dataFields>
  <chartFormats count="10">
    <chartFormat chart="2"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9" count="1" selected="0">
            <x v="0"/>
          </reference>
        </references>
      </pivotArea>
    </chartFormat>
    <chartFormat chart="8" format="8">
      <pivotArea type="data" outline="0" fieldPosition="0">
        <references count="2">
          <reference field="4294967294" count="1" selected="0">
            <x v="0"/>
          </reference>
          <reference field="9" count="1" selected="0">
            <x v="1"/>
          </reference>
        </references>
      </pivotArea>
    </chartFormat>
    <chartFormat chart="8" format="9">
      <pivotArea type="data" outline="0" fieldPosition="0">
        <references count="2">
          <reference field="4294967294" count="1" selected="0">
            <x v="0"/>
          </reference>
          <reference field="9" count="1" selected="0">
            <x v="2"/>
          </reference>
        </references>
      </pivotArea>
    </chartFormat>
    <chartFormat chart="8" format="10">
      <pivotArea type="data" outline="0" fieldPosition="0">
        <references count="2">
          <reference field="4294967294" count="1" selected="0">
            <x v="0"/>
          </reference>
          <reference field="9" count="1" selected="0">
            <x v="3"/>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 chart="2" format="2">
      <pivotArea type="data" outline="0" fieldPosition="0">
        <references count="2">
          <reference field="4294967294" count="1" selected="0">
            <x v="0"/>
          </reference>
          <reference field="9" count="1" selected="0">
            <x v="1"/>
          </reference>
        </references>
      </pivotArea>
    </chartFormat>
    <chartFormat chart="2" format="3">
      <pivotArea type="data" outline="0" fieldPosition="0">
        <references count="2">
          <reference field="4294967294" count="1" selected="0">
            <x v="0"/>
          </reference>
          <reference field="9" count="1" selected="0">
            <x v="2"/>
          </reference>
        </references>
      </pivotArea>
    </chartFormat>
    <chartFormat chart="2"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DE8447-BC11-440F-A78A-13049BD81B09}" name="PivotTable17" cacheId="1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10">
    <pivotField dataField="1" showAll="0"/>
    <pivotField numFmtId="165" showAll="0"/>
    <pivotField numFmtId="165" showAll="0"/>
    <pivotField showAll="0">
      <items count="4">
        <item x="2"/>
        <item x="0"/>
        <item x="1"/>
        <item t="default"/>
      </items>
    </pivotField>
    <pivotField numFmtId="164" showAll="0"/>
    <pivotField numFmtId="9" showAll="0"/>
    <pivotField axis="axisRow" showAll="0">
      <items count="4">
        <item x="1"/>
        <item x="2"/>
        <item x="0"/>
        <item t="default"/>
      </items>
    </pivotField>
    <pivotField showAll="0"/>
    <pivotField showAll="0"/>
    <pivotField showAll="0">
      <items count="5">
        <item x="0"/>
        <item x="1"/>
        <item x="3"/>
        <item x="2"/>
        <item t="default"/>
      </items>
    </pivotField>
  </pivotFields>
  <rowFields count="1">
    <field x="6"/>
  </rowFields>
  <rowItems count="4">
    <i>
      <x/>
    </i>
    <i>
      <x v="1"/>
    </i>
    <i>
      <x v="2"/>
    </i>
    <i t="grand">
      <x/>
    </i>
  </rowItems>
  <colItems count="1">
    <i/>
  </colItems>
  <dataFields count="1">
    <dataField name="Count of Product" fld="0" subtotal="count" baseField="0" baseItem="0"/>
  </dataFields>
  <chartFormats count="6">
    <chartFormat chart="15"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6" count="1" selected="0">
            <x v="0"/>
          </reference>
        </references>
      </pivotArea>
    </chartFormat>
    <chartFormat chart="20" format="7">
      <pivotArea type="data" outline="0" fieldPosition="0">
        <references count="2">
          <reference field="4294967294" count="1" selected="0">
            <x v="0"/>
          </reference>
          <reference field="6" count="1" selected="0">
            <x v="1"/>
          </reference>
        </references>
      </pivotArea>
    </chartFormat>
    <chartFormat chart="20" format="8">
      <pivotArea type="data" outline="0" fieldPosition="0">
        <references count="2">
          <reference field="4294967294" count="1" selected="0">
            <x v="0"/>
          </reference>
          <reference field="6" count="1" selected="0">
            <x v="2"/>
          </reference>
        </references>
      </pivotArea>
    </chartFormat>
    <chartFormat chart="15" format="1">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3924213-6B38-4D61-AA61-D5DFDEE3140A}" name="PivotTable6" cacheId="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5" firstHeaderRow="1" firstDataRow="1" firstDataCol="1"/>
  <pivotFields count="10">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4" showAll="0"/>
    <pivotField dataField="1" numFmtId="9" showAll="0">
      <items count="47">
        <item h="1" x="44"/>
        <item h="1" x="30"/>
        <item h="1" x="33"/>
        <item h="1" x="38"/>
        <item h="1" x="42"/>
        <item h="1" x="5"/>
        <item h="1" x="41"/>
        <item h="1" x="34"/>
        <item h="1" x="40"/>
        <item h="1" x="21"/>
        <item h="1" x="16"/>
        <item h="1" x="9"/>
        <item h="1" x="43"/>
        <item h="1" x="32"/>
        <item h="1" x="19"/>
        <item h="1" x="6"/>
        <item h="1" x="2"/>
        <item h="1" x="4"/>
        <item h="1" x="26"/>
        <item h="1" x="36"/>
        <item h="1" x="23"/>
        <item h="1" x="22"/>
        <item h="1" x="12"/>
        <item h="1" x="10"/>
        <item h="1" x="18"/>
        <item h="1" x="39"/>
        <item h="1" x="3"/>
        <item h="1" x="0"/>
        <item h="1" x="35"/>
        <item h="1" x="27"/>
        <item h="1" x="28"/>
        <item h="1" x="11"/>
        <item h="1" x="37"/>
        <item h="1" x="8"/>
        <item h="1" x="14"/>
        <item h="1" x="1"/>
        <item h="1" x="25"/>
        <item h="1" x="15"/>
        <item h="1" x="29"/>
        <item h="1" x="13"/>
        <item x="24"/>
        <item x="17"/>
        <item x="20"/>
        <item x="7"/>
        <item x="31"/>
        <item x="45"/>
        <item t="default"/>
      </items>
    </pivotField>
    <pivotField showAll="0"/>
    <pivotField showAll="0"/>
    <pivotField showAll="0"/>
    <pivotField showAll="0"/>
  </pivotFields>
  <rowFields count="1">
    <field x="0"/>
  </rowFields>
  <rowItems count="12">
    <i>
      <x v="31"/>
    </i>
    <i>
      <x v="53"/>
    </i>
    <i>
      <x v="30"/>
    </i>
    <i>
      <x v="70"/>
    </i>
    <i>
      <x v="99"/>
    </i>
    <i>
      <x v="84"/>
    </i>
    <i>
      <x v="67"/>
    </i>
    <i>
      <x v="52"/>
    </i>
    <i>
      <x v="20"/>
    </i>
    <i>
      <x v="64"/>
    </i>
    <i>
      <x v="60"/>
    </i>
    <i t="grand">
      <x/>
    </i>
  </rowItems>
  <colItems count="1">
    <i/>
  </colItems>
  <dataFields count="1">
    <dataField name="Average of Discount" fld="5" subtotal="average" baseField="0" baseItem="0" numFmtId="9"/>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A2BE46-4628-477F-BFDD-BD1F5429E959}" name="PivotTable7" cacheId="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10">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4" showAll="0"/>
    <pivotField numFmtId="9" showAll="0"/>
    <pivotField showAll="0"/>
    <pivotField dataField="1" showAll="0">
      <items count="25">
        <item h="1" x="18"/>
        <item h="1" x="0"/>
        <item h="1" x="11"/>
        <item h="1" x="4"/>
        <item h="1" x="9"/>
        <item h="1" x="3"/>
        <item h="1" x="10"/>
        <item h="1" x="20"/>
        <item h="1" x="7"/>
        <item h="1" x="13"/>
        <item h="1" x="1"/>
        <item h="1" x="5"/>
        <item h="1" x="22"/>
        <item h="1" x="23"/>
        <item x="16"/>
        <item x="2"/>
        <item x="17"/>
        <item x="19"/>
        <item x="8"/>
        <item x="12"/>
        <item x="15"/>
        <item x="6"/>
        <item x="21"/>
        <item h="1" x="14"/>
        <item t="default"/>
      </items>
    </pivotField>
    <pivotField showAll="0"/>
    <pivotField showAll="0"/>
  </pivotFields>
  <rowFields count="1">
    <field x="0"/>
  </rowFields>
  <rowItems count="11">
    <i>
      <x v="5"/>
    </i>
    <i>
      <x v="8"/>
    </i>
    <i>
      <x v="59"/>
    </i>
    <i>
      <x v="18"/>
    </i>
    <i>
      <x v="1"/>
    </i>
    <i>
      <x v="95"/>
    </i>
    <i>
      <x v="27"/>
    </i>
    <i>
      <x v="91"/>
    </i>
    <i>
      <x v="28"/>
    </i>
    <i>
      <x v="26"/>
    </i>
    <i t="grand">
      <x/>
    </i>
  </rowItems>
  <colItems count="1">
    <i/>
  </colItems>
  <dataFields count="1">
    <dataField name="Average of Review" fld="7" subtotal="average"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27FC9F4-CF82-4C9D-8439-8B26E5FEA417}" name="PivotTable8" cacheId="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0">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4" showAll="0"/>
    <pivotField numFmtId="9" showAll="0"/>
    <pivotField showAll="0"/>
    <pivotField showAll="0"/>
    <pivotField dataField="1" showAll="0">
      <items count="24">
        <item h="1" x="22"/>
        <item h="1" x="15"/>
        <item h="1" x="19"/>
        <item h="1" x="20"/>
        <item h="1" x="13"/>
        <item h="1" x="21"/>
        <item h="1" x="17"/>
        <item h="1" x="16"/>
        <item h="1" x="18"/>
        <item h="1" x="14"/>
        <item h="1" x="9"/>
        <item h="1" x="6"/>
        <item h="1" x="5"/>
        <item h="1" x="1"/>
        <item h="1" x="7"/>
        <item h="1" x="12"/>
        <item h="1" x="11"/>
        <item h="1" x="0"/>
        <item h="1" x="2"/>
        <item h="1" x="3"/>
        <item x="4"/>
        <item x="8"/>
        <item h="1" x="10"/>
        <item t="default"/>
      </items>
    </pivotField>
    <pivotField showAll="0"/>
  </pivotFields>
  <rowFields count="1">
    <field x="0"/>
  </rowFields>
  <rowItems count="11">
    <i>
      <x v="52"/>
    </i>
    <i>
      <x v="68"/>
    </i>
    <i>
      <x v="65"/>
    </i>
    <i>
      <x v="40"/>
    </i>
    <i>
      <x v="87"/>
    </i>
    <i>
      <x v="44"/>
    </i>
    <i>
      <x v="57"/>
    </i>
    <i>
      <x v="70"/>
    </i>
    <i>
      <x v="90"/>
    </i>
    <i>
      <x v="22"/>
    </i>
    <i t="grand">
      <x/>
    </i>
  </rowItems>
  <colItems count="1">
    <i/>
  </colItems>
  <dataFields count="1">
    <dataField name="Average of Rating" fld="8" subtotal="average"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A7AFA6-8EB0-4724-B8EF-62930B70510D}" name="PivotTable9" cacheId="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114" firstHeaderRow="0" firstDataRow="1" firstDataCol="1" rowPageCount="2" colPageCount="1"/>
  <pivotFields count="10">
    <pivotField axis="axisRow" showAll="0"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4" showAll="0"/>
    <pivotField dataField="1" numFmtId="9" showAll="0"/>
    <pivotField axis="axisPage" multipleItemSelectionAllowed="1" showAll="0">
      <items count="4">
        <item x="1"/>
        <item x="2"/>
        <item x="0"/>
        <item t="default"/>
      </items>
    </pivotField>
    <pivotField showAll="0"/>
    <pivotField dataField="1" showAll="0"/>
    <pivotField axis="axisPage" multipleItemSelectionAllowed="1" showAll="0">
      <items count="5">
        <item x="0"/>
        <item x="1"/>
        <item x="3"/>
        <item x="2"/>
        <item t="default"/>
      </items>
    </pivotField>
  </pivotFields>
  <rowFields count="1">
    <field x="0"/>
  </rowFields>
  <rowItems count="110">
    <i>
      <x v="104"/>
    </i>
    <i>
      <x v="58"/>
    </i>
    <i>
      <x v="30"/>
    </i>
    <i>
      <x v="35"/>
    </i>
    <i>
      <x v="41"/>
    </i>
    <i>
      <x v="17"/>
    </i>
    <i>
      <x v="106"/>
    </i>
    <i>
      <x v="25"/>
    </i>
    <i>
      <x v="38"/>
    </i>
    <i>
      <x v="64"/>
    </i>
    <i>
      <x v="5"/>
    </i>
    <i>
      <x v="101"/>
    </i>
    <i>
      <x v="108"/>
    </i>
    <i>
      <x v="16"/>
    </i>
    <i>
      <x v="84"/>
    </i>
    <i>
      <x v="76"/>
    </i>
    <i>
      <x v="66"/>
    </i>
    <i>
      <x v="20"/>
    </i>
    <i>
      <x v="7"/>
    </i>
    <i>
      <x v="3"/>
    </i>
    <i>
      <x v="93"/>
    </i>
    <i>
      <x v="73"/>
    </i>
    <i>
      <x v="56"/>
    </i>
    <i>
      <x v="11"/>
    </i>
    <i>
      <x v="63"/>
    </i>
    <i>
      <x v="26"/>
    </i>
    <i>
      <x v="62"/>
    </i>
    <i>
      <x v="77"/>
    </i>
    <i>
      <x v="80"/>
    </i>
    <i>
      <x v="67"/>
    </i>
    <i>
      <x v="72"/>
    </i>
    <i>
      <x v="60"/>
    </i>
    <i>
      <x v="95"/>
    </i>
    <i>
      <x v="61"/>
    </i>
    <i>
      <x/>
    </i>
    <i>
      <x v="69"/>
    </i>
    <i>
      <x v="2"/>
    </i>
    <i>
      <x v="27"/>
    </i>
    <i>
      <x v="59"/>
    </i>
    <i>
      <x v="18"/>
    </i>
    <i>
      <x v="75"/>
    </i>
    <i>
      <x v="91"/>
    </i>
    <i>
      <x v="8"/>
    </i>
    <i>
      <x v="28"/>
    </i>
    <i>
      <x v="4"/>
    </i>
    <i>
      <x v="107"/>
    </i>
    <i>
      <x v="1"/>
    </i>
    <i>
      <x v="70"/>
    </i>
    <i>
      <x v="22"/>
    </i>
    <i>
      <x v="90"/>
    </i>
    <i>
      <x v="87"/>
    </i>
    <i>
      <x v="57"/>
    </i>
    <i>
      <x v="52"/>
    </i>
    <i>
      <x v="40"/>
    </i>
    <i>
      <x v="68"/>
    </i>
    <i>
      <x v="65"/>
    </i>
    <i>
      <x v="44"/>
    </i>
    <i>
      <x v="54"/>
    </i>
    <i>
      <x v="83"/>
    </i>
    <i>
      <x v="10"/>
    </i>
    <i>
      <x v="47"/>
    </i>
    <i>
      <x v="6"/>
    </i>
    <i>
      <x v="85"/>
    </i>
    <i>
      <x v="32"/>
    </i>
    <i>
      <x v="86"/>
    </i>
    <i>
      <x v="34"/>
    </i>
    <i>
      <x v="48"/>
    </i>
    <i>
      <x v="36"/>
    </i>
    <i>
      <x v="88"/>
    </i>
    <i>
      <x v="12"/>
    </i>
    <i>
      <x v="89"/>
    </i>
    <i>
      <x v="21"/>
    </i>
    <i>
      <x v="49"/>
    </i>
    <i>
      <x v="13"/>
    </i>
    <i>
      <x v="50"/>
    </i>
    <i>
      <x v="74"/>
    </i>
    <i>
      <x v="92"/>
    </i>
    <i>
      <x v="23"/>
    </i>
    <i>
      <x v="51"/>
    </i>
    <i>
      <x v="78"/>
    </i>
    <i>
      <x v="94"/>
    </i>
    <i>
      <x v="46"/>
    </i>
    <i>
      <x v="24"/>
    </i>
    <i>
      <x v="82"/>
    </i>
    <i>
      <x v="96"/>
    </i>
    <i>
      <x v="31"/>
    </i>
    <i>
      <x v="97"/>
    </i>
    <i>
      <x v="19"/>
    </i>
    <i>
      <x v="98"/>
    </i>
    <i>
      <x v="39"/>
    </i>
    <i>
      <x v="99"/>
    </i>
    <i>
      <x v="42"/>
    </i>
    <i>
      <x v="100"/>
    </i>
    <i>
      <x v="45"/>
    </i>
    <i>
      <x v="53"/>
    </i>
    <i>
      <x v="81"/>
    </i>
    <i>
      <x v="102"/>
    </i>
    <i>
      <x v="33"/>
    </i>
    <i>
      <x v="103"/>
    </i>
    <i>
      <x v="71"/>
    </i>
    <i>
      <x v="14"/>
    </i>
    <i>
      <x v="79"/>
    </i>
    <i>
      <x v="105"/>
    </i>
    <i>
      <x v="37"/>
    </i>
    <i>
      <x v="55"/>
    </i>
    <i>
      <x v="29"/>
    </i>
    <i>
      <x v="15"/>
    </i>
    <i>
      <x v="43"/>
    </i>
    <i>
      <x v="9"/>
    </i>
    <i t="grand">
      <x/>
    </i>
  </rowItems>
  <colFields count="1">
    <field x="-2"/>
  </colFields>
  <colItems count="2">
    <i>
      <x/>
    </i>
    <i i="1">
      <x v="1"/>
    </i>
  </colItems>
  <pageFields count="2">
    <pageField fld="6" hier="-1"/>
    <pageField fld="9" hier="-1"/>
  </pageFields>
  <dataFields count="2">
    <dataField name="Average of Rating" fld="8" subtotal="average" baseField="0" baseItem="0"/>
    <dataField name="Average of Discount" fld="5"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ADFA4D5-F830-4C00-9B19-B61AC05A5022}" name="PivotTable10" cacheId="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3" firstHeaderRow="1" firstDataRow="1" firstDataCol="1"/>
  <pivotFields count="10">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4" showAll="0"/>
    <pivotField numFmtId="9" showAll="0"/>
    <pivotField showAll="0"/>
    <pivotField dataField="1" showAll="0"/>
    <pivotField showAll="0"/>
    <pivotField showAll="0"/>
  </pivotFields>
  <rowFields count="1">
    <field x="0"/>
  </rowFields>
  <rowItems count="110">
    <i>
      <x v="5"/>
    </i>
    <i>
      <x v="8"/>
    </i>
    <i>
      <x v="59"/>
    </i>
    <i>
      <x v="18"/>
    </i>
    <i>
      <x v="1"/>
    </i>
    <i>
      <x v="95"/>
    </i>
    <i>
      <x v="27"/>
    </i>
    <i>
      <x v="91"/>
    </i>
    <i>
      <x v="28"/>
    </i>
    <i>
      <x v="26"/>
    </i>
    <i>
      <x v="38"/>
    </i>
    <i>
      <x v="101"/>
    </i>
    <i>
      <x v="64"/>
    </i>
    <i>
      <x v="11"/>
    </i>
    <i>
      <x v="77"/>
    </i>
    <i>
      <x v="61"/>
    </i>
    <i>
      <x v="3"/>
    </i>
    <i>
      <x v="20"/>
    </i>
    <i>
      <x v="30"/>
    </i>
    <i>
      <x v="22"/>
    </i>
    <i>
      <x v="93"/>
    </i>
    <i>
      <x v="62"/>
    </i>
    <i>
      <x v="4"/>
    </i>
    <i>
      <x v="84"/>
    </i>
    <i>
      <x v="60"/>
    </i>
    <i>
      <x v="80"/>
    </i>
    <i>
      <x v="72"/>
    </i>
    <i>
      <x v="67"/>
    </i>
    <i>
      <x v="17"/>
    </i>
    <i>
      <x v="58"/>
    </i>
    <i>
      <x v="107"/>
    </i>
    <i>
      <x v="69"/>
    </i>
    <i>
      <x v="106"/>
    </i>
    <i>
      <x v="41"/>
    </i>
    <i>
      <x v="73"/>
    </i>
    <i>
      <x v="25"/>
    </i>
    <i>
      <x v="35"/>
    </i>
    <i>
      <x v="66"/>
    </i>
    <i>
      <x v="75"/>
    </i>
    <i>
      <x v="7"/>
    </i>
    <i>
      <x v="90"/>
    </i>
    <i>
      <x v="70"/>
    </i>
    <i>
      <x v="16"/>
    </i>
    <i>
      <x v="108"/>
    </i>
    <i>
      <x v="68"/>
    </i>
    <i>
      <x v="56"/>
    </i>
    <i>
      <x v="40"/>
    </i>
    <i>
      <x v="52"/>
    </i>
    <i>
      <x v="87"/>
    </i>
    <i>
      <x/>
    </i>
    <i>
      <x v="2"/>
    </i>
    <i>
      <x v="65"/>
    </i>
    <i>
      <x v="76"/>
    </i>
    <i>
      <x v="57"/>
    </i>
    <i>
      <x v="44"/>
    </i>
    <i>
      <x v="63"/>
    </i>
    <i>
      <x v="104"/>
    </i>
    <i>
      <x v="88"/>
    </i>
    <i>
      <x v="36"/>
    </i>
    <i>
      <x v="96"/>
    </i>
    <i>
      <x v="12"/>
    </i>
    <i>
      <x v="37"/>
    </i>
    <i>
      <x v="23"/>
    </i>
    <i>
      <x v="92"/>
    </i>
    <i>
      <x v="24"/>
    </i>
    <i>
      <x v="100"/>
    </i>
    <i>
      <x v="13"/>
    </i>
    <i>
      <x v="82"/>
    </i>
    <i>
      <x v="14"/>
    </i>
    <i>
      <x v="86"/>
    </i>
    <i>
      <x v="49"/>
    </i>
    <i>
      <x v="19"/>
    </i>
    <i>
      <x v="15"/>
    </i>
    <i>
      <x v="94"/>
    </i>
    <i>
      <x v="50"/>
    </i>
    <i>
      <x v="98"/>
    </i>
    <i>
      <x v="6"/>
    </i>
    <i>
      <x v="102"/>
    </i>
    <i>
      <x v="29"/>
    </i>
    <i>
      <x v="81"/>
    </i>
    <i>
      <x v="51"/>
    </i>
    <i>
      <x v="83"/>
    </i>
    <i>
      <x v="9"/>
    </i>
    <i>
      <x v="85"/>
    </i>
    <i>
      <x v="31"/>
    </i>
    <i>
      <x v="46"/>
    </i>
    <i>
      <x v="71"/>
    </i>
    <i>
      <x v="89"/>
    </i>
    <i>
      <x v="32"/>
    </i>
    <i>
      <x v="39"/>
    </i>
    <i>
      <x v="103"/>
    </i>
    <i>
      <x v="55"/>
    </i>
    <i>
      <x v="105"/>
    </i>
    <i>
      <x v="47"/>
    </i>
    <i>
      <x v="45"/>
    </i>
    <i>
      <x v="97"/>
    </i>
    <i>
      <x v="21"/>
    </i>
    <i>
      <x v="99"/>
    </i>
    <i>
      <x v="10"/>
    </i>
    <i>
      <x v="42"/>
    </i>
    <i>
      <x v="78"/>
    </i>
    <i>
      <x v="48"/>
    </i>
    <i>
      <x v="79"/>
    </i>
    <i>
      <x v="33"/>
    </i>
    <i>
      <x v="43"/>
    </i>
    <i>
      <x v="74"/>
    </i>
    <i>
      <x v="34"/>
    </i>
    <i>
      <x v="53"/>
    </i>
    <i>
      <x v="54"/>
    </i>
    <i t="grand">
      <x/>
    </i>
  </rowItems>
  <colItems count="1">
    <i/>
  </colItems>
  <dataFields count="1">
    <dataField name="Average of Review"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EDF16E6-6068-4918-980D-16741241B144}" name="PivotTable11"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13" firstHeaderRow="0" firstDataRow="1" firstDataCol="1"/>
  <pivotFields count="10">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4" showAll="0"/>
    <pivotField numFmtId="9" showAll="0"/>
    <pivotField showAll="0"/>
    <pivotField dataField="1" showAll="0"/>
    <pivotField dataField="1" showAll="0"/>
    <pivotField showAll="0"/>
  </pivotFields>
  <rowFields count="1">
    <field x="0"/>
  </rowFields>
  <rowItems count="110">
    <i>
      <x v="5"/>
    </i>
    <i>
      <x v="8"/>
    </i>
    <i>
      <x v="59"/>
    </i>
    <i>
      <x v="18"/>
    </i>
    <i>
      <x v="1"/>
    </i>
    <i>
      <x v="95"/>
    </i>
    <i>
      <x v="27"/>
    </i>
    <i>
      <x v="91"/>
    </i>
    <i>
      <x v="28"/>
    </i>
    <i>
      <x v="26"/>
    </i>
    <i>
      <x v="38"/>
    </i>
    <i>
      <x v="101"/>
    </i>
    <i>
      <x v="64"/>
    </i>
    <i>
      <x v="11"/>
    </i>
    <i>
      <x v="77"/>
    </i>
    <i>
      <x v="61"/>
    </i>
    <i>
      <x v="3"/>
    </i>
    <i>
      <x v="20"/>
    </i>
    <i>
      <x v="30"/>
    </i>
    <i>
      <x v="22"/>
    </i>
    <i>
      <x v="93"/>
    </i>
    <i>
      <x v="62"/>
    </i>
    <i>
      <x v="4"/>
    </i>
    <i>
      <x v="84"/>
    </i>
    <i>
      <x v="60"/>
    </i>
    <i>
      <x v="80"/>
    </i>
    <i>
      <x v="72"/>
    </i>
    <i>
      <x v="67"/>
    </i>
    <i>
      <x v="17"/>
    </i>
    <i>
      <x v="58"/>
    </i>
    <i>
      <x v="107"/>
    </i>
    <i>
      <x v="69"/>
    </i>
    <i>
      <x v="106"/>
    </i>
    <i>
      <x v="41"/>
    </i>
    <i>
      <x v="73"/>
    </i>
    <i>
      <x v="25"/>
    </i>
    <i>
      <x v="35"/>
    </i>
    <i>
      <x v="66"/>
    </i>
    <i>
      <x v="75"/>
    </i>
    <i>
      <x v="7"/>
    </i>
    <i>
      <x v="90"/>
    </i>
    <i>
      <x v="70"/>
    </i>
    <i>
      <x v="16"/>
    </i>
    <i>
      <x v="108"/>
    </i>
    <i>
      <x v="68"/>
    </i>
    <i>
      <x v="56"/>
    </i>
    <i>
      <x v="40"/>
    </i>
    <i>
      <x v="52"/>
    </i>
    <i>
      <x v="87"/>
    </i>
    <i>
      <x/>
    </i>
    <i>
      <x v="2"/>
    </i>
    <i>
      <x v="65"/>
    </i>
    <i>
      <x v="76"/>
    </i>
    <i>
      <x v="57"/>
    </i>
    <i>
      <x v="44"/>
    </i>
    <i>
      <x v="63"/>
    </i>
    <i>
      <x v="104"/>
    </i>
    <i>
      <x v="88"/>
    </i>
    <i>
      <x v="36"/>
    </i>
    <i>
      <x v="96"/>
    </i>
    <i>
      <x v="12"/>
    </i>
    <i>
      <x v="37"/>
    </i>
    <i>
      <x v="23"/>
    </i>
    <i>
      <x v="92"/>
    </i>
    <i>
      <x v="24"/>
    </i>
    <i>
      <x v="100"/>
    </i>
    <i>
      <x v="13"/>
    </i>
    <i>
      <x v="82"/>
    </i>
    <i>
      <x v="14"/>
    </i>
    <i>
      <x v="86"/>
    </i>
    <i>
      <x v="49"/>
    </i>
    <i>
      <x v="19"/>
    </i>
    <i>
      <x v="15"/>
    </i>
    <i>
      <x v="94"/>
    </i>
    <i>
      <x v="50"/>
    </i>
    <i>
      <x v="98"/>
    </i>
    <i>
      <x v="6"/>
    </i>
    <i>
      <x v="102"/>
    </i>
    <i>
      <x v="29"/>
    </i>
    <i>
      <x v="81"/>
    </i>
    <i>
      <x v="51"/>
    </i>
    <i>
      <x v="83"/>
    </i>
    <i>
      <x v="9"/>
    </i>
    <i>
      <x v="85"/>
    </i>
    <i>
      <x v="31"/>
    </i>
    <i>
      <x v="46"/>
    </i>
    <i>
      <x v="71"/>
    </i>
    <i>
      <x v="89"/>
    </i>
    <i>
      <x v="32"/>
    </i>
    <i>
      <x v="39"/>
    </i>
    <i>
      <x v="103"/>
    </i>
    <i>
      <x v="55"/>
    </i>
    <i>
      <x v="105"/>
    </i>
    <i>
      <x v="47"/>
    </i>
    <i>
      <x v="45"/>
    </i>
    <i>
      <x v="97"/>
    </i>
    <i>
      <x v="21"/>
    </i>
    <i>
      <x v="99"/>
    </i>
    <i>
      <x v="10"/>
    </i>
    <i>
      <x v="42"/>
    </i>
    <i>
      <x v="78"/>
    </i>
    <i>
      <x v="48"/>
    </i>
    <i>
      <x v="79"/>
    </i>
    <i>
      <x v="33"/>
    </i>
    <i>
      <x v="43"/>
    </i>
    <i>
      <x v="74"/>
    </i>
    <i>
      <x v="34"/>
    </i>
    <i>
      <x v="53"/>
    </i>
    <i>
      <x v="54"/>
    </i>
    <i t="grand">
      <x/>
    </i>
  </rowItems>
  <colFields count="1">
    <field x="-2"/>
  </colFields>
  <colItems count="2">
    <i>
      <x/>
    </i>
    <i i="1">
      <x v="1"/>
    </i>
  </colItems>
  <dataFields count="2">
    <dataField name="Average of Review" fld="7" subtotal="average" baseField="0" baseItem="0"/>
    <dataField name="Average of Rating"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B895EF7-A6B6-4F2C-AF3F-FD20B5439BC1}" name="PivotTable12"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13" firstHeaderRow="0" firstDataRow="1" firstDataCol="1"/>
  <pivotFields count="10">
    <pivotField axis="axisRow" showAll="0"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dataField="1" numFmtId="165" showAll="0"/>
    <pivotField numFmtId="165" showAll="0"/>
    <pivotField showAll="0"/>
    <pivotField numFmtId="164" showAll="0"/>
    <pivotField numFmtId="9" showAll="0"/>
    <pivotField showAll="0"/>
    <pivotField dataField="1" showAll="0"/>
    <pivotField dataField="1" showAll="0"/>
    <pivotField showAll="0"/>
  </pivotFields>
  <rowFields count="1">
    <field x="0"/>
  </rowFields>
  <rowItems count="110">
    <i>
      <x v="57"/>
    </i>
    <i>
      <x v="104"/>
    </i>
    <i>
      <x v="76"/>
    </i>
    <i>
      <x v="63"/>
    </i>
    <i>
      <x v="44"/>
    </i>
    <i>
      <x v="65"/>
    </i>
    <i>
      <x v="56"/>
    </i>
    <i>
      <x/>
    </i>
    <i>
      <x v="2"/>
    </i>
    <i>
      <x v="52"/>
    </i>
    <i>
      <x v="87"/>
    </i>
    <i>
      <x v="40"/>
    </i>
    <i>
      <x v="68"/>
    </i>
    <i>
      <x v="108"/>
    </i>
    <i>
      <x v="70"/>
    </i>
    <i>
      <x v="16"/>
    </i>
    <i>
      <x v="90"/>
    </i>
    <i>
      <x v="75"/>
    </i>
    <i>
      <x v="66"/>
    </i>
    <i>
      <x v="7"/>
    </i>
    <i>
      <x v="73"/>
    </i>
    <i>
      <x v="106"/>
    </i>
    <i>
      <x v="69"/>
    </i>
    <i>
      <x v="25"/>
    </i>
    <i>
      <x v="35"/>
    </i>
    <i>
      <x v="41"/>
    </i>
    <i>
      <x v="58"/>
    </i>
    <i>
      <x v="67"/>
    </i>
    <i>
      <x v="107"/>
    </i>
    <i>
      <x v="17"/>
    </i>
    <i>
      <x v="72"/>
    </i>
    <i>
      <x v="60"/>
    </i>
    <i>
      <x v="80"/>
    </i>
    <i>
      <x v="84"/>
    </i>
    <i>
      <x v="62"/>
    </i>
    <i>
      <x v="93"/>
    </i>
    <i>
      <x v="4"/>
    </i>
    <i>
      <x v="22"/>
    </i>
    <i>
      <x v="20"/>
    </i>
    <i>
      <x v="3"/>
    </i>
    <i>
      <x v="30"/>
    </i>
    <i>
      <x v="61"/>
    </i>
    <i>
      <x v="77"/>
    </i>
    <i>
      <x v="11"/>
    </i>
    <i>
      <x v="64"/>
    </i>
    <i>
      <x v="101"/>
    </i>
    <i>
      <x v="38"/>
    </i>
    <i>
      <x v="28"/>
    </i>
    <i>
      <x v="26"/>
    </i>
    <i>
      <x v="91"/>
    </i>
    <i>
      <x v="27"/>
    </i>
    <i>
      <x v="95"/>
    </i>
    <i>
      <x v="1"/>
    </i>
    <i>
      <x v="18"/>
    </i>
    <i>
      <x v="59"/>
    </i>
    <i>
      <x v="8"/>
    </i>
    <i>
      <x v="5"/>
    </i>
    <i>
      <x v="54"/>
    </i>
    <i>
      <x v="83"/>
    </i>
    <i>
      <x v="10"/>
    </i>
    <i>
      <x v="47"/>
    </i>
    <i>
      <x v="6"/>
    </i>
    <i>
      <x v="85"/>
    </i>
    <i>
      <x v="32"/>
    </i>
    <i>
      <x v="86"/>
    </i>
    <i>
      <x v="34"/>
    </i>
    <i>
      <x v="48"/>
    </i>
    <i>
      <x v="36"/>
    </i>
    <i>
      <x v="88"/>
    </i>
    <i>
      <x v="12"/>
    </i>
    <i>
      <x v="89"/>
    </i>
    <i>
      <x v="21"/>
    </i>
    <i>
      <x v="49"/>
    </i>
    <i>
      <x v="13"/>
    </i>
    <i>
      <x v="50"/>
    </i>
    <i>
      <x v="74"/>
    </i>
    <i>
      <x v="92"/>
    </i>
    <i>
      <x v="23"/>
    </i>
    <i>
      <x v="51"/>
    </i>
    <i>
      <x v="78"/>
    </i>
    <i>
      <x v="94"/>
    </i>
    <i>
      <x v="46"/>
    </i>
    <i>
      <x v="24"/>
    </i>
    <i>
      <x v="82"/>
    </i>
    <i>
      <x v="96"/>
    </i>
    <i>
      <x v="31"/>
    </i>
    <i>
      <x v="97"/>
    </i>
    <i>
      <x v="19"/>
    </i>
    <i>
      <x v="98"/>
    </i>
    <i>
      <x v="39"/>
    </i>
    <i>
      <x v="99"/>
    </i>
    <i>
      <x v="42"/>
    </i>
    <i>
      <x v="100"/>
    </i>
    <i>
      <x v="45"/>
    </i>
    <i>
      <x v="53"/>
    </i>
    <i>
      <x v="81"/>
    </i>
    <i>
      <x v="102"/>
    </i>
    <i>
      <x v="33"/>
    </i>
    <i>
      <x v="103"/>
    </i>
    <i>
      <x v="71"/>
    </i>
    <i>
      <x v="14"/>
    </i>
    <i>
      <x v="79"/>
    </i>
    <i>
      <x v="105"/>
    </i>
    <i>
      <x v="37"/>
    </i>
    <i>
      <x v="55"/>
    </i>
    <i>
      <x v="29"/>
    </i>
    <i>
      <x v="15"/>
    </i>
    <i>
      <x v="43"/>
    </i>
    <i>
      <x v="9"/>
    </i>
    <i t="grand">
      <x/>
    </i>
  </rowItems>
  <colFields count="1">
    <field x="-2"/>
  </colFields>
  <colItems count="3">
    <i>
      <x/>
    </i>
    <i i="1">
      <x v="1"/>
    </i>
    <i i="2">
      <x v="2"/>
    </i>
  </colItems>
  <dataFields count="3">
    <dataField name="Average of Review" fld="7" subtotal="average" baseField="0" baseItem="0"/>
    <dataField name="Average of Rating" fld="8" subtotal="average" baseField="0" baseItem="0"/>
    <dataField name="Average of Current price" fld="1"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E2641A-4F40-4DD4-A35C-6AE75F96CF26}" name="PivotTable13"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31" firstHeaderRow="1" firstDataRow="2" firstDataCol="1"/>
  <pivotFields count="10">
    <pivotField axis="axisRow" showAll="0"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2">
            <reference field="4294967294" count="1" selected="0">
              <x v="0"/>
            </reference>
            <reference field="9" count="1" selected="0">
              <x v="0"/>
            </reference>
          </references>
        </pivotArea>
      </autoSortScope>
    </pivotField>
    <pivotField numFmtId="165" showAll="0"/>
    <pivotField numFmtId="165" showAll="0"/>
    <pivotField showAll="0"/>
    <pivotField numFmtId="164" showAll="0"/>
    <pivotField numFmtId="9" showAll="0"/>
    <pivotField showAll="0"/>
    <pivotField dataField="1" showAll="0"/>
    <pivotField showAll="0"/>
    <pivotField axis="axisCol" showAll="0">
      <items count="5">
        <item x="0"/>
        <item h="1" x="1"/>
        <item h="1" x="3"/>
        <item h="1" x="2"/>
        <item t="default"/>
      </items>
    </pivotField>
  </pivotFields>
  <rowFields count="1">
    <field x="0"/>
  </rowFields>
  <rowItems count="27">
    <i>
      <x v="95"/>
    </i>
    <i>
      <x v="27"/>
    </i>
    <i>
      <x v="26"/>
    </i>
    <i>
      <x v="11"/>
    </i>
    <i>
      <x v="77"/>
    </i>
    <i>
      <x v="61"/>
    </i>
    <i>
      <x v="3"/>
    </i>
    <i>
      <x v="20"/>
    </i>
    <i>
      <x v="93"/>
    </i>
    <i>
      <x v="62"/>
    </i>
    <i>
      <x v="84"/>
    </i>
    <i>
      <x v="80"/>
    </i>
    <i>
      <x v="60"/>
    </i>
    <i>
      <x v="72"/>
    </i>
    <i>
      <x v="67"/>
    </i>
    <i>
      <x v="73"/>
    </i>
    <i>
      <x v="69"/>
    </i>
    <i>
      <x v="7"/>
    </i>
    <i>
      <x v="108"/>
    </i>
    <i>
      <x v="16"/>
    </i>
    <i>
      <x v="66"/>
    </i>
    <i>
      <x v="56"/>
    </i>
    <i>
      <x v="2"/>
    </i>
    <i>
      <x/>
    </i>
    <i>
      <x v="63"/>
    </i>
    <i>
      <x v="76"/>
    </i>
    <i t="grand">
      <x/>
    </i>
  </rowItems>
  <colFields count="1">
    <field x="9"/>
  </colFields>
  <colItems count="2">
    <i>
      <x/>
    </i>
    <i t="grand">
      <x/>
    </i>
  </colItems>
  <dataFields count="1">
    <dataField name="Average of Review"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53A5993-6FBA-42AC-A738-1A9DE8683B23}" name="PivotTable14"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3" firstHeaderRow="0" firstDataRow="1" firstDataCol="1" rowPageCount="1" colPageCount="1"/>
  <pivotFields count="10">
    <pivotField axis="axisRow" showAll="0" sortType="a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65" showAll="0"/>
    <pivotField numFmtId="165" showAll="0"/>
    <pivotField showAll="0"/>
    <pivotField numFmtId="164" showAll="0"/>
    <pivotField dataField="1" numFmtId="9" showAll="0"/>
    <pivotField axis="axisPage" multipleItemSelectionAllowed="1" showAll="0">
      <items count="4">
        <item x="1"/>
        <item h="1" x="2"/>
        <item h="1" x="0"/>
        <item t="default"/>
      </items>
    </pivotField>
    <pivotField dataField="1" showAll="0"/>
    <pivotField showAll="0"/>
    <pivotField showAll="0"/>
  </pivotFields>
  <rowFields count="1">
    <field x="0"/>
  </rowFields>
  <rowItems count="60">
    <i>
      <x v="48"/>
    </i>
    <i>
      <x v="45"/>
    </i>
    <i>
      <x v="46"/>
    </i>
    <i>
      <x v="13"/>
    </i>
    <i>
      <x v="47"/>
    </i>
    <i>
      <x v="19"/>
    </i>
    <i>
      <x v="50"/>
    </i>
    <i>
      <x v="23"/>
    </i>
    <i>
      <x v="51"/>
    </i>
    <i>
      <x v="31"/>
    </i>
    <i>
      <x v="32"/>
    </i>
    <i>
      <x v="102"/>
    </i>
    <i>
      <x v="34"/>
    </i>
    <i>
      <x v="37"/>
    </i>
    <i>
      <x v="53"/>
    </i>
    <i>
      <x v="42"/>
    </i>
    <i>
      <x v="55"/>
    </i>
    <i>
      <x v="39"/>
    </i>
    <i>
      <x v="43"/>
    </i>
    <i>
      <x v="15"/>
    </i>
    <i>
      <x v="79"/>
    </i>
    <i>
      <x v="24"/>
    </i>
    <i>
      <x v="81"/>
    </i>
    <i>
      <x v="99"/>
    </i>
    <i>
      <x v="82"/>
    </i>
    <i>
      <x v="36"/>
    </i>
    <i>
      <x v="94"/>
    </i>
    <i>
      <x v="21"/>
    </i>
    <i>
      <x v="96"/>
    </i>
    <i>
      <x v="44"/>
    </i>
    <i>
      <x v="63"/>
    </i>
    <i>
      <x v="104"/>
    </i>
    <i>
      <x v="76"/>
    </i>
    <i>
      <x v="52"/>
    </i>
    <i>
      <x v="87"/>
    </i>
    <i>
      <x v="40"/>
    </i>
    <i>
      <x v="68"/>
    </i>
    <i>
      <x v="7"/>
    </i>
    <i>
      <x v="108"/>
    </i>
    <i>
      <x v="70"/>
    </i>
    <i>
      <x v="41"/>
    </i>
    <i>
      <x v="106"/>
    </i>
    <i>
      <x v="35"/>
    </i>
    <i>
      <x v="69"/>
    </i>
    <i>
      <x v="67"/>
    </i>
    <i>
      <x v="17"/>
    </i>
    <i>
      <x v="58"/>
    </i>
    <i>
      <x v="60"/>
    </i>
    <i>
      <x v="72"/>
    </i>
    <i>
      <x v="84"/>
    </i>
    <i>
      <x v="22"/>
    </i>
    <i>
      <x v="20"/>
    </i>
    <i>
      <x v="30"/>
    </i>
    <i>
      <x v="77"/>
    </i>
    <i>
      <x v="64"/>
    </i>
    <i>
      <x v="38"/>
    </i>
    <i>
      <x v="95"/>
    </i>
    <i>
      <x v="18"/>
    </i>
    <i>
      <x v="5"/>
    </i>
    <i t="grand">
      <x/>
    </i>
  </rowItems>
  <colFields count="1">
    <field x="-2"/>
  </colFields>
  <colItems count="2">
    <i>
      <x/>
    </i>
    <i i="1">
      <x v="1"/>
    </i>
  </colItems>
  <pageFields count="1">
    <pageField fld="6" hier="-1"/>
  </pageFields>
  <dataFields count="2">
    <dataField name="Sum of Review" fld="7" baseField="0" baseItem="0"/>
    <dataField name="Average of Discount" fld="5"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3E39BA9F-2F1E-4FBA-B884-32669818763B}" sourceName="Rating">
  <pivotTables>
    <pivotTable tabId="18" name="PivotTable8"/>
  </pivotTables>
  <data>
    <tabular pivotCacheId="895664191">
      <items count="23">
        <i x="22"/>
        <i x="15"/>
        <i x="19"/>
        <i x="20"/>
        <i x="13"/>
        <i x="21"/>
        <i x="17"/>
        <i x="16"/>
        <i x="18"/>
        <i x="14"/>
        <i x="9"/>
        <i x="6"/>
        <i x="5"/>
        <i x="1"/>
        <i x="7"/>
        <i x="12"/>
        <i x="11"/>
        <i x="0"/>
        <i x="2"/>
        <i x="3"/>
        <i x="4" s="1"/>
        <i x="8" s="1"/>
        <i x="1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6E0ED697-351D-4621-8AD0-11E2A8BA9841}" sourceName="Review">
  <pivotTables>
    <pivotTable tabId="17" name="PivotTable7"/>
  </pivotTables>
  <data>
    <tabular pivotCacheId="895664191">
      <items count="24">
        <i x="18"/>
        <i x="0"/>
        <i x="11"/>
        <i x="4"/>
        <i x="9"/>
        <i x="3"/>
        <i x="10"/>
        <i x="20"/>
        <i x="7"/>
        <i x="13"/>
        <i x="1"/>
        <i x="5"/>
        <i x="22"/>
        <i x="23"/>
        <i x="16" s="1"/>
        <i x="2" s="1"/>
        <i x="17" s="1"/>
        <i x="19" s="1"/>
        <i x="8" s="1"/>
        <i x="12" s="1"/>
        <i x="15" s="1"/>
        <i x="6" s="1"/>
        <i x="21" s="1"/>
        <i x="1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9EFAD007-27C5-4AF6-A515-C2166F1E9D95}" sourceName="Discount">
  <pivotTables>
    <pivotTable tabId="16" name="PivotTable6"/>
  </pivotTables>
  <data>
    <tabular pivotCacheId="895664191">
      <items count="46">
        <i x="44"/>
        <i x="30"/>
        <i x="33"/>
        <i x="38"/>
        <i x="42"/>
        <i x="5"/>
        <i x="41"/>
        <i x="34"/>
        <i x="40"/>
        <i x="21"/>
        <i x="16"/>
        <i x="9"/>
        <i x="43"/>
        <i x="32"/>
        <i x="19"/>
        <i x="6"/>
        <i x="2"/>
        <i x="4"/>
        <i x="26"/>
        <i x="36"/>
        <i x="23"/>
        <i x="22"/>
        <i x="12"/>
        <i x="10"/>
        <i x="18"/>
        <i x="39"/>
        <i x="3"/>
        <i x="0"/>
        <i x="35"/>
        <i x="27"/>
        <i x="28"/>
        <i x="11"/>
        <i x="37"/>
        <i x="8"/>
        <i x="14"/>
        <i x="1"/>
        <i x="25"/>
        <i x="15"/>
        <i x="29"/>
        <i x="13"/>
        <i x="24" s="1"/>
        <i x="17" s="1"/>
        <i x="20" s="1"/>
        <i x="7" s="1"/>
        <i x="31" s="1"/>
        <i x="4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2" xr10:uid="{5D03AC79-6DAB-469E-A0E1-31B567DCA92B}" sourceName="Price Category">
  <pivotTables>
    <pivotTable tabId="28" name="PivotTable16"/>
    <pivotTable tabId="29" name="PivotTable17"/>
    <pivotTable tabId="30" name="PivotTable18"/>
    <pivotTable tabId="10" name="PivotTable2"/>
    <pivotTable tabId="12" name="PivotTable4"/>
    <pivotTable tabId="11" name="PivotTable3"/>
  </pivotTables>
  <data>
    <tabular pivotCacheId="745239475">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2" xr10:uid="{B95C4CD1-414F-4DFE-8A9C-5BA53FF0EC93}" sourceName="Discount Category">
  <pivotTables>
    <pivotTable tabId="28" name="PivotTable16"/>
    <pivotTable tabId="29" name="PivotTable17"/>
    <pivotTable tabId="30" name="PivotTable18"/>
    <pivotTable tabId="8" name="PivotTable1"/>
    <pivotTable tabId="10" name="PivotTable2"/>
    <pivotTable tabId="12" name="PivotTable4"/>
    <pivotTable tabId="11" name="PivotTable3"/>
  </pivotTables>
  <data>
    <tabular pivotCacheId="745239475">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2" xr10:uid="{63819BA5-01F3-4EE2-8BB2-C49822A3306D}" sourceName="Rating Category">
  <pivotTables>
    <pivotTable tabId="28" name="PivotTable16"/>
    <pivotTable tabId="29" name="PivotTable17"/>
    <pivotTable tabId="30" name="PivotTable18"/>
    <pivotTable tabId="8" name="PivotTable1"/>
    <pivotTable tabId="10" name="PivotTable2"/>
    <pivotTable tabId="12" name="PivotTable4"/>
    <pivotTable tabId="11" name="PivotTable3"/>
  </pivotTables>
  <data>
    <tabular pivotCacheId="74523947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9EE0D591-7DF7-45AD-AA24-8F60DE9D9CEF}" cache="Slicer_Discount" caption="Discount" startItem="39"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view" xr10:uid="{1CE7FF28-46F1-449E-BA27-F81150530BF3}" cache="Slicer_Review" caption="Review" startItem="1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F5B33D2C-4369-414C-A04F-34B95A3AB229}" cache="Slicer_Rating" caption="Rating" startItem="16"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2" xr10:uid="{DECB5D5F-808F-45E5-A292-E9E733493DD8}" cache="Slicer_Price_Category2" caption="Price Category" rowHeight="241300"/>
  <slicer name="Discount Category 2" xr10:uid="{D76E5514-967D-4913-AD1B-0D89B9262A3B}" cache="Slicer_Discount_Category2" caption="Discount Category" rowHeight="241300"/>
  <slicer name="Rating Category 2" xr10:uid="{6A277F5C-40F9-430A-91E7-CB14C6ABD44E}" cache="Slicer_Rating_Category2" caption="Rating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2.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0.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2ABFC-5D1F-4644-A439-F19DF3FCB245}">
  <dimension ref="A1:G114"/>
  <sheetViews>
    <sheetView topLeftCell="A91" workbookViewId="0">
      <selection sqref="A1:XFD1048576"/>
    </sheetView>
  </sheetViews>
  <sheetFormatPr defaultRowHeight="14.5" x14ac:dyDescent="0.35"/>
  <sheetData>
    <row r="1" spans="1:7" x14ac:dyDescent="0.35">
      <c r="A1" t="s">
        <v>0</v>
      </c>
      <c r="B1" t="s">
        <v>1</v>
      </c>
      <c r="C1" t="s">
        <v>2</v>
      </c>
      <c r="D1" t="s">
        <v>3</v>
      </c>
      <c r="E1" t="s">
        <v>4</v>
      </c>
      <c r="F1" t="s">
        <v>5</v>
      </c>
    </row>
    <row r="2" spans="1:7" x14ac:dyDescent="0.35">
      <c r="A2" t="s">
        <v>6</v>
      </c>
      <c r="B2">
        <v>950</v>
      </c>
      <c r="C2">
        <v>1525</v>
      </c>
      <c r="D2" s="1">
        <v>0.38</v>
      </c>
      <c r="E2">
        <v>-2</v>
      </c>
      <c r="F2" t="s">
        <v>7</v>
      </c>
      <c r="G2">
        <v>4.5</v>
      </c>
    </row>
    <row r="3" spans="1:7" x14ac:dyDescent="0.35">
      <c r="A3" t="s">
        <v>8</v>
      </c>
      <c r="B3">
        <v>527</v>
      </c>
      <c r="C3">
        <v>999</v>
      </c>
      <c r="D3" s="1">
        <v>0.47</v>
      </c>
      <c r="E3">
        <v>-14</v>
      </c>
      <c r="F3" t="s">
        <v>9</v>
      </c>
      <c r="G3" t="e">
        <v>#VALUE!</v>
      </c>
    </row>
    <row r="4" spans="1:7" x14ac:dyDescent="0.35">
      <c r="A4" t="s">
        <v>10</v>
      </c>
      <c r="B4">
        <v>2199</v>
      </c>
      <c r="C4">
        <v>2923</v>
      </c>
      <c r="D4" s="1">
        <v>0.25</v>
      </c>
      <c r="E4">
        <v>-24</v>
      </c>
      <c r="F4" t="s">
        <v>11</v>
      </c>
      <c r="G4" t="e">
        <v>#VALUE!</v>
      </c>
    </row>
    <row r="5" spans="1:7" x14ac:dyDescent="0.35">
      <c r="A5" t="s">
        <v>12</v>
      </c>
      <c r="B5">
        <v>1580</v>
      </c>
      <c r="C5">
        <v>2499</v>
      </c>
      <c r="D5" s="1">
        <v>0.37</v>
      </c>
      <c r="E5">
        <v>-7</v>
      </c>
      <c r="F5" t="s">
        <v>13</v>
      </c>
      <c r="G5" t="e">
        <v>#VALUE!</v>
      </c>
    </row>
    <row r="6" spans="1:7" x14ac:dyDescent="0.35">
      <c r="A6" t="s">
        <v>14</v>
      </c>
      <c r="B6">
        <v>1740</v>
      </c>
      <c r="C6">
        <v>2356</v>
      </c>
      <c r="D6" s="1">
        <v>0.26</v>
      </c>
      <c r="E6">
        <v>-5</v>
      </c>
      <c r="F6" t="s">
        <v>15</v>
      </c>
      <c r="G6" t="e">
        <v>#VALUE!</v>
      </c>
    </row>
    <row r="7" spans="1:7" x14ac:dyDescent="0.35">
      <c r="A7" t="s">
        <v>16</v>
      </c>
      <c r="B7">
        <v>2999</v>
      </c>
      <c r="C7">
        <v>3290</v>
      </c>
      <c r="D7" s="1">
        <v>0.09</v>
      </c>
      <c r="E7">
        <v>-15</v>
      </c>
      <c r="F7" t="s">
        <v>17</v>
      </c>
      <c r="G7" t="e">
        <v>#VALUE!</v>
      </c>
    </row>
    <row r="8" spans="1:7" x14ac:dyDescent="0.35">
      <c r="A8" t="s">
        <v>18</v>
      </c>
      <c r="B8">
        <v>2319</v>
      </c>
      <c r="C8">
        <v>3032</v>
      </c>
      <c r="D8" s="1">
        <v>0.24</v>
      </c>
      <c r="E8">
        <v>-55</v>
      </c>
      <c r="F8" t="s">
        <v>11</v>
      </c>
      <c r="G8">
        <v>4.5999999999999996</v>
      </c>
    </row>
    <row r="9" spans="1:7" x14ac:dyDescent="0.35">
      <c r="A9" t="s">
        <v>19</v>
      </c>
      <c r="B9">
        <v>988</v>
      </c>
      <c r="C9">
        <v>1580</v>
      </c>
      <c r="D9" s="1">
        <v>0.37</v>
      </c>
      <c r="E9">
        <v>-2</v>
      </c>
      <c r="F9" t="s">
        <v>17</v>
      </c>
      <c r="G9" t="e">
        <v>#VALUE!</v>
      </c>
    </row>
    <row r="10" spans="1:7" x14ac:dyDescent="0.35">
      <c r="A10" t="s">
        <v>20</v>
      </c>
      <c r="B10">
        <v>1274</v>
      </c>
      <c r="C10">
        <v>2800</v>
      </c>
      <c r="D10" s="1">
        <v>0.55000000000000004</v>
      </c>
      <c r="E10">
        <v>-5</v>
      </c>
      <c r="F10" t="s">
        <v>15</v>
      </c>
      <c r="G10">
        <v>4.8</v>
      </c>
    </row>
    <row r="11" spans="1:7" x14ac:dyDescent="0.35">
      <c r="A11" t="s">
        <v>21</v>
      </c>
      <c r="B11">
        <v>1600</v>
      </c>
      <c r="C11">
        <v>2929</v>
      </c>
      <c r="D11" s="1">
        <v>0.45</v>
      </c>
      <c r="E11">
        <v>-5</v>
      </c>
      <c r="F11" t="s">
        <v>22</v>
      </c>
      <c r="G11">
        <v>3</v>
      </c>
    </row>
    <row r="12" spans="1:7" x14ac:dyDescent="0.35">
      <c r="A12" t="s">
        <v>23</v>
      </c>
      <c r="B12">
        <v>799</v>
      </c>
      <c r="C12">
        <v>999</v>
      </c>
      <c r="D12" s="1">
        <v>0.2</v>
      </c>
      <c r="E12">
        <v>-12</v>
      </c>
      <c r="F12" t="s">
        <v>9</v>
      </c>
      <c r="G12" t="e">
        <v>#VALUE!</v>
      </c>
    </row>
    <row r="13" spans="1:7" x14ac:dyDescent="0.35">
      <c r="A13" t="s">
        <v>24</v>
      </c>
      <c r="B13">
        <v>990</v>
      </c>
      <c r="C13">
        <v>1500</v>
      </c>
      <c r="D13" s="1">
        <v>0.34</v>
      </c>
      <c r="E13">
        <v>-39</v>
      </c>
      <c r="F13" t="s">
        <v>13</v>
      </c>
      <c r="G13">
        <v>4.7</v>
      </c>
    </row>
    <row r="14" spans="1:7" x14ac:dyDescent="0.35">
      <c r="A14" t="s">
        <v>25</v>
      </c>
      <c r="B14">
        <v>552</v>
      </c>
      <c r="C14">
        <v>1035</v>
      </c>
      <c r="D14" s="1">
        <v>0.47</v>
      </c>
      <c r="E14">
        <v>-12</v>
      </c>
      <c r="F14" t="s">
        <v>15</v>
      </c>
      <c r="G14">
        <v>4.8</v>
      </c>
    </row>
    <row r="15" spans="1:7" x14ac:dyDescent="0.35">
      <c r="A15" t="s">
        <v>26</v>
      </c>
      <c r="B15">
        <v>501</v>
      </c>
      <c r="C15">
        <v>860</v>
      </c>
      <c r="D15" s="1">
        <v>0.42</v>
      </c>
      <c r="E15">
        <v>-6</v>
      </c>
      <c r="F15" t="s">
        <v>7</v>
      </c>
      <c r="G15">
        <v>4.5</v>
      </c>
    </row>
    <row r="16" spans="1:7" x14ac:dyDescent="0.35">
      <c r="A16" t="s">
        <v>27</v>
      </c>
      <c r="B16">
        <v>1680</v>
      </c>
      <c r="C16">
        <v>2499</v>
      </c>
      <c r="D16" s="1">
        <v>0.33</v>
      </c>
      <c r="E16">
        <v>-9</v>
      </c>
      <c r="F16" t="s">
        <v>28</v>
      </c>
      <c r="G16" t="e">
        <v>#VALUE!</v>
      </c>
    </row>
    <row r="17" spans="1:7" x14ac:dyDescent="0.35">
      <c r="A17" t="s">
        <v>29</v>
      </c>
      <c r="B17">
        <v>332</v>
      </c>
      <c r="C17">
        <v>684</v>
      </c>
      <c r="D17" s="1">
        <v>0.51</v>
      </c>
      <c r="E17">
        <v>-2</v>
      </c>
      <c r="F17" t="s">
        <v>30</v>
      </c>
      <c r="G17" t="e">
        <v>#VALUE!</v>
      </c>
    </row>
    <row r="18" spans="1:7" x14ac:dyDescent="0.35">
      <c r="A18" t="s">
        <v>31</v>
      </c>
      <c r="B18">
        <v>195</v>
      </c>
      <c r="C18">
        <v>360</v>
      </c>
      <c r="D18" s="1">
        <v>0.46</v>
      </c>
      <c r="E18">
        <v>-2</v>
      </c>
      <c r="F18" t="s">
        <v>30</v>
      </c>
      <c r="G18" t="e">
        <v>#VALUE!</v>
      </c>
    </row>
    <row r="19" spans="1:7" x14ac:dyDescent="0.35">
      <c r="A19" t="s">
        <v>32</v>
      </c>
      <c r="B19">
        <v>2025</v>
      </c>
      <c r="C19">
        <v>3971</v>
      </c>
      <c r="D19" s="1">
        <v>0.49</v>
      </c>
      <c r="E19">
        <v>-3</v>
      </c>
      <c r="F19" t="s">
        <v>30</v>
      </c>
      <c r="G19" t="e">
        <v>#VALUE!</v>
      </c>
    </row>
    <row r="20" spans="1:7" x14ac:dyDescent="0.35">
      <c r="A20" t="s">
        <v>33</v>
      </c>
      <c r="B20">
        <v>2999</v>
      </c>
      <c r="C20">
        <v>3699</v>
      </c>
      <c r="D20" s="1">
        <v>0.19</v>
      </c>
      <c r="E20">
        <v>-5</v>
      </c>
      <c r="F20" t="s">
        <v>11</v>
      </c>
      <c r="G20">
        <v>4.5999999999999996</v>
      </c>
    </row>
    <row r="21" spans="1:7" x14ac:dyDescent="0.35">
      <c r="A21" t="s">
        <v>34</v>
      </c>
      <c r="B21">
        <v>998</v>
      </c>
      <c r="C21">
        <v>1966</v>
      </c>
      <c r="D21" s="1">
        <v>0.49</v>
      </c>
      <c r="E21">
        <v>-44</v>
      </c>
      <c r="F21" t="s">
        <v>11</v>
      </c>
      <c r="G21">
        <v>4</v>
      </c>
    </row>
    <row r="22" spans="1:7" x14ac:dyDescent="0.35">
      <c r="A22" t="s">
        <v>35</v>
      </c>
      <c r="B22">
        <v>38</v>
      </c>
      <c r="C22">
        <v>80</v>
      </c>
      <c r="D22" s="1">
        <v>0.53</v>
      </c>
      <c r="E22">
        <v>-13</v>
      </c>
      <c r="F22" t="s">
        <v>36</v>
      </c>
      <c r="G22">
        <v>3.3</v>
      </c>
    </row>
    <row r="23" spans="1:7" x14ac:dyDescent="0.35">
      <c r="A23" t="s">
        <v>37</v>
      </c>
      <c r="B23">
        <v>1860</v>
      </c>
      <c r="C23">
        <v>3220</v>
      </c>
      <c r="D23" s="1">
        <v>0.42</v>
      </c>
      <c r="E23" t="s">
        <v>38</v>
      </c>
      <c r="F23" t="s">
        <v>38</v>
      </c>
      <c r="G23" t="e">
        <v>#VALUE!</v>
      </c>
    </row>
    <row r="24" spans="1:7" x14ac:dyDescent="0.35">
      <c r="A24" t="s">
        <v>39</v>
      </c>
      <c r="B24">
        <v>880</v>
      </c>
      <c r="C24">
        <v>1350</v>
      </c>
      <c r="D24" s="1">
        <v>0.35</v>
      </c>
      <c r="E24">
        <v>-6</v>
      </c>
      <c r="F24" t="s">
        <v>17</v>
      </c>
      <c r="G24" t="e">
        <v>#VALUE!</v>
      </c>
    </row>
    <row r="25" spans="1:7" x14ac:dyDescent="0.35">
      <c r="A25" t="s">
        <v>40</v>
      </c>
      <c r="B25">
        <v>1650</v>
      </c>
      <c r="C25">
        <v>2150</v>
      </c>
      <c r="D25" s="1">
        <v>0.23</v>
      </c>
      <c r="E25">
        <v>-14</v>
      </c>
      <c r="F25" t="s">
        <v>41</v>
      </c>
      <c r="G25" t="e">
        <v>#VALUE!</v>
      </c>
    </row>
    <row r="26" spans="1:7" x14ac:dyDescent="0.35">
      <c r="A26" t="s">
        <v>42</v>
      </c>
      <c r="B26">
        <v>2048</v>
      </c>
      <c r="C26">
        <v>4500</v>
      </c>
      <c r="D26" s="1">
        <v>0.54</v>
      </c>
      <c r="E26">
        <v>-7</v>
      </c>
      <c r="F26" t="s">
        <v>43</v>
      </c>
      <c r="G26">
        <v>4.3</v>
      </c>
    </row>
    <row r="27" spans="1:7" x14ac:dyDescent="0.35">
      <c r="A27" t="s">
        <v>44</v>
      </c>
      <c r="B27">
        <v>420</v>
      </c>
      <c r="C27">
        <v>647</v>
      </c>
      <c r="D27" s="1">
        <v>0.35</v>
      </c>
      <c r="E27">
        <v>-49</v>
      </c>
      <c r="F27" t="s">
        <v>11</v>
      </c>
      <c r="G27" t="e">
        <v>#VALUE!</v>
      </c>
    </row>
    <row r="28" spans="1:7" x14ac:dyDescent="0.35">
      <c r="A28" t="s">
        <v>45</v>
      </c>
      <c r="B28">
        <v>2880</v>
      </c>
      <c r="C28">
        <v>3520</v>
      </c>
      <c r="D28" s="1">
        <v>0.18</v>
      </c>
      <c r="E28">
        <v>-12</v>
      </c>
      <c r="F28" t="s">
        <v>22</v>
      </c>
      <c r="G28" t="e">
        <v>#VALUE!</v>
      </c>
    </row>
    <row r="29" spans="1:7" x14ac:dyDescent="0.35">
      <c r="A29" t="s">
        <v>46</v>
      </c>
      <c r="B29">
        <v>1350</v>
      </c>
      <c r="C29">
        <v>1990</v>
      </c>
      <c r="D29" s="1">
        <v>0.32</v>
      </c>
      <c r="E29">
        <v>-13</v>
      </c>
      <c r="F29" t="s">
        <v>22</v>
      </c>
      <c r="G29">
        <v>3</v>
      </c>
    </row>
    <row r="30" spans="1:7" x14ac:dyDescent="0.35">
      <c r="A30" t="s">
        <v>47</v>
      </c>
      <c r="B30">
        <v>1758</v>
      </c>
      <c r="C30">
        <v>2499</v>
      </c>
      <c r="D30" s="1">
        <v>0.3</v>
      </c>
      <c r="E30">
        <v>-20</v>
      </c>
      <c r="F30" t="s">
        <v>9</v>
      </c>
      <c r="G30">
        <v>4</v>
      </c>
    </row>
    <row r="31" spans="1:7" x14ac:dyDescent="0.35">
      <c r="A31" t="s">
        <v>48</v>
      </c>
      <c r="B31">
        <v>2200</v>
      </c>
      <c r="C31">
        <v>4080</v>
      </c>
      <c r="D31" s="1">
        <v>0.46</v>
      </c>
      <c r="E31" t="s">
        <v>38</v>
      </c>
      <c r="F31" t="s">
        <v>38</v>
      </c>
      <c r="G31" t="e">
        <v>#VALUE!</v>
      </c>
    </row>
    <row r="32" spans="1:7" x14ac:dyDescent="0.35">
      <c r="A32" t="s">
        <v>49</v>
      </c>
      <c r="B32">
        <v>185</v>
      </c>
      <c r="C32">
        <v>382</v>
      </c>
      <c r="D32" s="1">
        <v>0.52</v>
      </c>
      <c r="E32">
        <v>-9</v>
      </c>
      <c r="F32" t="s">
        <v>43</v>
      </c>
      <c r="G32" t="e">
        <v>#VALUE!</v>
      </c>
    </row>
    <row r="33" spans="1:7" x14ac:dyDescent="0.35">
      <c r="A33" t="s">
        <v>50</v>
      </c>
      <c r="B33">
        <v>980</v>
      </c>
      <c r="C33">
        <v>1490</v>
      </c>
      <c r="D33" s="1">
        <v>0.34</v>
      </c>
      <c r="E33">
        <v>-12</v>
      </c>
      <c r="F33" t="s">
        <v>13</v>
      </c>
      <c r="G33">
        <v>4</v>
      </c>
    </row>
    <row r="34" spans="1:7" x14ac:dyDescent="0.35">
      <c r="A34" t="s">
        <v>51</v>
      </c>
      <c r="B34">
        <v>1820</v>
      </c>
      <c r="C34">
        <v>3490</v>
      </c>
      <c r="D34" s="1">
        <v>0.48</v>
      </c>
      <c r="E34">
        <v>-9</v>
      </c>
      <c r="F34" t="s">
        <v>43</v>
      </c>
      <c r="G34">
        <v>4.3</v>
      </c>
    </row>
    <row r="35" spans="1:7" x14ac:dyDescent="0.35">
      <c r="A35" t="s">
        <v>52</v>
      </c>
      <c r="B35">
        <v>1940</v>
      </c>
      <c r="C35">
        <v>2650</v>
      </c>
      <c r="D35" s="1">
        <v>0.27</v>
      </c>
      <c r="E35">
        <v>-20</v>
      </c>
      <c r="F35" t="s">
        <v>13</v>
      </c>
      <c r="G35" t="e">
        <v>#VALUE!</v>
      </c>
    </row>
    <row r="36" spans="1:7" x14ac:dyDescent="0.35">
      <c r="A36" t="s">
        <v>53</v>
      </c>
      <c r="B36">
        <v>1980</v>
      </c>
      <c r="C36">
        <v>2699</v>
      </c>
      <c r="D36" s="1">
        <v>0.27</v>
      </c>
      <c r="E36">
        <v>-32</v>
      </c>
      <c r="F36" t="s">
        <v>7</v>
      </c>
      <c r="G36">
        <v>4</v>
      </c>
    </row>
    <row r="37" spans="1:7" x14ac:dyDescent="0.35">
      <c r="A37" t="s">
        <v>54</v>
      </c>
      <c r="B37">
        <v>1620</v>
      </c>
      <c r="C37">
        <v>2690</v>
      </c>
      <c r="D37" s="1">
        <v>0.4</v>
      </c>
      <c r="E37">
        <v>-1</v>
      </c>
      <c r="F37" t="s">
        <v>30</v>
      </c>
      <c r="G37" t="e">
        <v>#VALUE!</v>
      </c>
    </row>
    <row r="38" spans="1:7" x14ac:dyDescent="0.35">
      <c r="A38" t="s">
        <v>55</v>
      </c>
      <c r="B38">
        <v>171</v>
      </c>
      <c r="C38">
        <v>360</v>
      </c>
      <c r="D38" s="1">
        <v>0.53</v>
      </c>
      <c r="E38">
        <v>-2</v>
      </c>
      <c r="F38" t="s">
        <v>30</v>
      </c>
      <c r="G38" t="e">
        <v>#VALUE!</v>
      </c>
    </row>
    <row r="39" spans="1:7" x14ac:dyDescent="0.35">
      <c r="A39" t="s">
        <v>56</v>
      </c>
      <c r="B39">
        <v>389</v>
      </c>
      <c r="C39">
        <v>656</v>
      </c>
      <c r="D39" s="1">
        <v>0.41</v>
      </c>
      <c r="E39">
        <v>-36</v>
      </c>
      <c r="F39" t="s">
        <v>43</v>
      </c>
      <c r="G39" t="e">
        <v>#VALUE!</v>
      </c>
    </row>
    <row r="40" spans="1:7" x14ac:dyDescent="0.35">
      <c r="A40" t="s">
        <v>57</v>
      </c>
      <c r="B40" t="s">
        <v>58</v>
      </c>
      <c r="C40" t="s">
        <v>59</v>
      </c>
      <c r="D40" s="1">
        <v>0.38</v>
      </c>
      <c r="E40">
        <v>-2</v>
      </c>
      <c r="F40" t="s">
        <v>7</v>
      </c>
      <c r="G40" t="e">
        <v>#VALUE!</v>
      </c>
    </row>
    <row r="41" spans="1:7" x14ac:dyDescent="0.35">
      <c r="A41" t="s">
        <v>60</v>
      </c>
      <c r="B41">
        <v>2750</v>
      </c>
      <c r="C41">
        <v>4471</v>
      </c>
      <c r="D41" s="1">
        <v>0.38</v>
      </c>
      <c r="E41" t="s">
        <v>38</v>
      </c>
      <c r="F41" t="s">
        <v>38</v>
      </c>
      <c r="G41" t="e">
        <v>#VALUE!</v>
      </c>
    </row>
    <row r="42" spans="1:7" x14ac:dyDescent="0.35">
      <c r="A42" t="s">
        <v>61</v>
      </c>
      <c r="B42">
        <v>475</v>
      </c>
      <c r="C42">
        <v>931</v>
      </c>
      <c r="D42" s="1">
        <v>0.49</v>
      </c>
      <c r="E42" t="s">
        <v>38</v>
      </c>
      <c r="F42" t="s">
        <v>38</v>
      </c>
      <c r="G42" t="e">
        <v>#VALUE!</v>
      </c>
    </row>
    <row r="43" spans="1:7" x14ac:dyDescent="0.35">
      <c r="A43" t="s">
        <v>62</v>
      </c>
      <c r="B43">
        <v>238</v>
      </c>
      <c r="C43">
        <v>476</v>
      </c>
      <c r="D43" s="1">
        <v>0.5</v>
      </c>
      <c r="E43" t="s">
        <v>38</v>
      </c>
      <c r="F43" t="s">
        <v>38</v>
      </c>
      <c r="G43" t="e">
        <v>#VALUE!</v>
      </c>
    </row>
    <row r="44" spans="1:7" x14ac:dyDescent="0.35">
      <c r="A44" t="s">
        <v>63</v>
      </c>
      <c r="B44">
        <v>610</v>
      </c>
      <c r="C44">
        <v>1060</v>
      </c>
      <c r="D44" s="1">
        <v>0.42</v>
      </c>
      <c r="E44" t="s">
        <v>38</v>
      </c>
      <c r="F44" t="s">
        <v>38</v>
      </c>
      <c r="G44" t="e">
        <v>#VALUE!</v>
      </c>
    </row>
    <row r="45" spans="1:7" x14ac:dyDescent="0.35">
      <c r="A45" t="s">
        <v>64</v>
      </c>
      <c r="B45">
        <v>2132</v>
      </c>
      <c r="C45">
        <v>2169</v>
      </c>
      <c r="D45" s="1">
        <v>0.02</v>
      </c>
      <c r="E45" t="s">
        <v>38</v>
      </c>
      <c r="F45" t="s">
        <v>38</v>
      </c>
      <c r="G45" t="e">
        <v>#VALUE!</v>
      </c>
    </row>
    <row r="46" spans="1:7" x14ac:dyDescent="0.35">
      <c r="A46" t="s">
        <v>65</v>
      </c>
      <c r="B46">
        <v>999</v>
      </c>
      <c r="C46">
        <v>2000</v>
      </c>
      <c r="D46" s="1">
        <v>0.5</v>
      </c>
      <c r="E46" t="s">
        <v>38</v>
      </c>
      <c r="F46" t="s">
        <v>38</v>
      </c>
      <c r="G46" t="e">
        <v>#VALUE!</v>
      </c>
    </row>
    <row r="47" spans="1:7" x14ac:dyDescent="0.35">
      <c r="A47" t="s">
        <v>66</v>
      </c>
      <c r="B47">
        <v>1190</v>
      </c>
      <c r="C47">
        <v>1785</v>
      </c>
      <c r="D47" s="1">
        <v>0.33</v>
      </c>
      <c r="E47" t="s">
        <v>38</v>
      </c>
      <c r="F47" t="s">
        <v>38</v>
      </c>
      <c r="G47" t="e">
        <v>#VALUE!</v>
      </c>
    </row>
    <row r="48" spans="1:7" x14ac:dyDescent="0.35">
      <c r="A48" t="s">
        <v>67</v>
      </c>
      <c r="B48">
        <v>671</v>
      </c>
      <c r="C48">
        <v>1316</v>
      </c>
      <c r="D48" s="1">
        <v>0.49</v>
      </c>
      <c r="E48" t="s">
        <v>38</v>
      </c>
      <c r="F48" t="s">
        <v>38</v>
      </c>
      <c r="G48" t="e">
        <v>#VALUE!</v>
      </c>
    </row>
    <row r="49" spans="1:7" x14ac:dyDescent="0.35">
      <c r="A49" t="s">
        <v>68</v>
      </c>
      <c r="B49">
        <v>1200</v>
      </c>
      <c r="C49">
        <v>1950</v>
      </c>
      <c r="D49" s="1">
        <v>0.38</v>
      </c>
      <c r="E49" t="s">
        <v>38</v>
      </c>
      <c r="F49" t="s">
        <v>38</v>
      </c>
      <c r="G49" t="e">
        <v>#VALUE!</v>
      </c>
    </row>
    <row r="50" spans="1:7" x14ac:dyDescent="0.35">
      <c r="A50" t="s">
        <v>69</v>
      </c>
      <c r="B50">
        <v>199</v>
      </c>
      <c r="C50">
        <v>504</v>
      </c>
      <c r="D50" s="1">
        <v>0.61</v>
      </c>
      <c r="E50" t="s">
        <v>38</v>
      </c>
      <c r="F50" t="s">
        <v>38</v>
      </c>
      <c r="G50" t="e">
        <v>#VALUE!</v>
      </c>
    </row>
    <row r="51" spans="1:7" x14ac:dyDescent="0.35">
      <c r="A51" t="s">
        <v>70</v>
      </c>
      <c r="B51">
        <v>299</v>
      </c>
      <c r="C51">
        <v>600</v>
      </c>
      <c r="D51" s="1">
        <v>0.5</v>
      </c>
      <c r="E51" t="s">
        <v>38</v>
      </c>
      <c r="F51" t="s">
        <v>38</v>
      </c>
      <c r="G51" t="e">
        <v>#VALUE!</v>
      </c>
    </row>
    <row r="52" spans="1:7" x14ac:dyDescent="0.35">
      <c r="A52" t="s">
        <v>71</v>
      </c>
      <c r="B52">
        <v>1660</v>
      </c>
      <c r="C52">
        <v>1699</v>
      </c>
      <c r="D52" s="1">
        <v>0.02</v>
      </c>
      <c r="E52" t="s">
        <v>38</v>
      </c>
      <c r="F52" t="s">
        <v>38</v>
      </c>
      <c r="G52" t="e">
        <v>#VALUE!</v>
      </c>
    </row>
    <row r="53" spans="1:7" x14ac:dyDescent="0.35">
      <c r="A53" t="s">
        <v>72</v>
      </c>
      <c r="B53">
        <v>299</v>
      </c>
      <c r="C53">
        <v>384</v>
      </c>
      <c r="D53" s="1">
        <v>0.22</v>
      </c>
      <c r="E53" t="s">
        <v>38</v>
      </c>
      <c r="F53" t="s">
        <v>38</v>
      </c>
      <c r="G53" t="e">
        <v>#VALUE!</v>
      </c>
    </row>
    <row r="54" spans="1:7" x14ac:dyDescent="0.35">
      <c r="A54" t="s">
        <v>73</v>
      </c>
      <c r="B54">
        <v>1459</v>
      </c>
      <c r="C54">
        <v>1499</v>
      </c>
      <c r="D54" s="1">
        <v>0.03</v>
      </c>
      <c r="E54" t="s">
        <v>38</v>
      </c>
      <c r="F54" t="s">
        <v>38</v>
      </c>
      <c r="G54" t="e">
        <v>#VALUE!</v>
      </c>
    </row>
    <row r="55" spans="1:7" x14ac:dyDescent="0.35">
      <c r="A55" t="s">
        <v>74</v>
      </c>
      <c r="B55">
        <v>799</v>
      </c>
      <c r="C55">
        <v>1343</v>
      </c>
      <c r="D55" s="1">
        <v>0.41</v>
      </c>
      <c r="E55" t="s">
        <v>38</v>
      </c>
      <c r="F55" t="s">
        <v>38</v>
      </c>
      <c r="G55" t="e">
        <v>#VALUE!</v>
      </c>
    </row>
    <row r="56" spans="1:7" x14ac:dyDescent="0.35">
      <c r="A56" t="s">
        <v>75</v>
      </c>
      <c r="B56">
        <v>499</v>
      </c>
      <c r="C56">
        <v>900</v>
      </c>
      <c r="D56" s="1">
        <v>0.45</v>
      </c>
      <c r="E56" t="s">
        <v>38</v>
      </c>
      <c r="F56" t="s">
        <v>38</v>
      </c>
      <c r="G56" t="e">
        <v>#VALUE!</v>
      </c>
    </row>
    <row r="57" spans="1:7" x14ac:dyDescent="0.35">
      <c r="A57" t="s">
        <v>76</v>
      </c>
      <c r="B57">
        <v>699</v>
      </c>
      <c r="C57">
        <v>1343</v>
      </c>
      <c r="D57" s="1">
        <v>0.48</v>
      </c>
      <c r="E57" t="s">
        <v>38</v>
      </c>
      <c r="F57" t="s">
        <v>38</v>
      </c>
      <c r="G57" t="e">
        <v>#VALUE!</v>
      </c>
    </row>
    <row r="58" spans="1:7" x14ac:dyDescent="0.35">
      <c r="A58" t="s">
        <v>77</v>
      </c>
      <c r="B58">
        <v>799</v>
      </c>
      <c r="C58">
        <v>1567</v>
      </c>
      <c r="D58" s="1">
        <v>0.49</v>
      </c>
      <c r="E58" t="s">
        <v>38</v>
      </c>
      <c r="F58" t="s">
        <v>38</v>
      </c>
      <c r="G58" t="e">
        <v>#VALUE!</v>
      </c>
    </row>
    <row r="59" spans="1:7" x14ac:dyDescent="0.35">
      <c r="A59" t="s">
        <v>78</v>
      </c>
      <c r="B59">
        <v>2799</v>
      </c>
      <c r="C59">
        <v>3810</v>
      </c>
      <c r="D59" s="1">
        <v>0.27</v>
      </c>
      <c r="E59" t="s">
        <v>38</v>
      </c>
      <c r="F59" t="s">
        <v>38</v>
      </c>
      <c r="G59" t="e">
        <v>#VALUE!</v>
      </c>
    </row>
    <row r="60" spans="1:7" x14ac:dyDescent="0.35">
      <c r="A60" t="s">
        <v>75</v>
      </c>
      <c r="B60">
        <v>399</v>
      </c>
      <c r="C60">
        <v>896</v>
      </c>
      <c r="D60" s="1">
        <v>0.55000000000000004</v>
      </c>
      <c r="E60" t="s">
        <v>38</v>
      </c>
      <c r="F60" t="s">
        <v>38</v>
      </c>
      <c r="G60" t="e">
        <v>#VALUE!</v>
      </c>
    </row>
    <row r="61" spans="1:7" x14ac:dyDescent="0.35">
      <c r="A61" t="s">
        <v>79</v>
      </c>
      <c r="B61">
        <v>2170</v>
      </c>
      <c r="C61">
        <v>2500</v>
      </c>
      <c r="D61" s="1">
        <v>0.13</v>
      </c>
      <c r="E61">
        <v>-6</v>
      </c>
      <c r="F61" t="s">
        <v>80</v>
      </c>
      <c r="G61">
        <v>2</v>
      </c>
    </row>
    <row r="62" spans="1:7" x14ac:dyDescent="0.35">
      <c r="A62" t="s">
        <v>81</v>
      </c>
      <c r="B62">
        <v>458</v>
      </c>
      <c r="C62">
        <v>986</v>
      </c>
      <c r="D62" s="1">
        <v>0.54</v>
      </c>
      <c r="E62">
        <v>-10</v>
      </c>
      <c r="F62" t="s">
        <v>82</v>
      </c>
      <c r="G62" t="e">
        <v>#VALUE!</v>
      </c>
    </row>
    <row r="63" spans="1:7" x14ac:dyDescent="0.35">
      <c r="A63" t="s">
        <v>83</v>
      </c>
      <c r="B63">
        <v>2115</v>
      </c>
      <c r="C63">
        <v>4700</v>
      </c>
      <c r="D63" s="1">
        <v>0.55000000000000004</v>
      </c>
      <c r="E63">
        <v>-13</v>
      </c>
      <c r="F63" t="s">
        <v>84</v>
      </c>
      <c r="G63" t="e">
        <v>#VALUE!</v>
      </c>
    </row>
    <row r="64" spans="1:7" x14ac:dyDescent="0.35">
      <c r="A64" t="s">
        <v>85</v>
      </c>
      <c r="B64">
        <v>445</v>
      </c>
      <c r="C64">
        <v>873</v>
      </c>
      <c r="D64" s="1">
        <v>0.49</v>
      </c>
      <c r="E64">
        <v>-69</v>
      </c>
      <c r="F64" t="s">
        <v>86</v>
      </c>
      <c r="G64">
        <v>2.8</v>
      </c>
    </row>
    <row r="65" spans="1:7" x14ac:dyDescent="0.35">
      <c r="A65" t="s">
        <v>87</v>
      </c>
      <c r="B65">
        <v>325</v>
      </c>
      <c r="C65">
        <v>680</v>
      </c>
      <c r="D65" s="1">
        <v>0.52</v>
      </c>
      <c r="E65">
        <v>-15</v>
      </c>
      <c r="F65" t="s">
        <v>88</v>
      </c>
      <c r="G65" t="e">
        <v>#VALUE!</v>
      </c>
    </row>
    <row r="66" spans="1:7" x14ac:dyDescent="0.35">
      <c r="A66" t="s">
        <v>89</v>
      </c>
      <c r="B66">
        <v>1220</v>
      </c>
      <c r="C66">
        <v>1555</v>
      </c>
      <c r="D66" s="1">
        <v>0.22</v>
      </c>
      <c r="E66">
        <v>-16</v>
      </c>
      <c r="F66" t="s">
        <v>90</v>
      </c>
      <c r="G66">
        <v>2.9</v>
      </c>
    </row>
    <row r="67" spans="1:7" x14ac:dyDescent="0.35">
      <c r="A67" t="s">
        <v>91</v>
      </c>
      <c r="B67">
        <v>990</v>
      </c>
      <c r="C67">
        <v>1814</v>
      </c>
      <c r="D67" s="1">
        <v>0.45</v>
      </c>
      <c r="E67">
        <v>-6</v>
      </c>
      <c r="F67" t="s">
        <v>92</v>
      </c>
      <c r="G67" t="e">
        <v>#VALUE!</v>
      </c>
    </row>
    <row r="68" spans="1:7" x14ac:dyDescent="0.35">
      <c r="A68" t="s">
        <v>93</v>
      </c>
      <c r="B68">
        <v>1000</v>
      </c>
      <c r="C68">
        <v>2000</v>
      </c>
      <c r="D68" s="1">
        <v>0.5</v>
      </c>
      <c r="E68">
        <v>-7</v>
      </c>
      <c r="F68" t="s">
        <v>94</v>
      </c>
      <c r="G68" t="e">
        <v>#VALUE!</v>
      </c>
    </row>
    <row r="69" spans="1:7" x14ac:dyDescent="0.35">
      <c r="A69" t="s">
        <v>95</v>
      </c>
      <c r="B69">
        <v>3750</v>
      </c>
      <c r="C69">
        <v>6143</v>
      </c>
      <c r="D69" s="1">
        <v>0.39</v>
      </c>
      <c r="E69">
        <v>-5</v>
      </c>
      <c r="F69" t="s">
        <v>82</v>
      </c>
      <c r="G69" t="e">
        <v>#VALUE!</v>
      </c>
    </row>
    <row r="70" spans="1:7" x14ac:dyDescent="0.35">
      <c r="A70" t="s">
        <v>96</v>
      </c>
      <c r="B70">
        <v>382</v>
      </c>
      <c r="C70">
        <v>700</v>
      </c>
      <c r="D70" s="1">
        <v>0.45</v>
      </c>
      <c r="E70">
        <v>-17</v>
      </c>
      <c r="F70" t="s">
        <v>97</v>
      </c>
      <c r="G70" t="e">
        <v>#VALUE!</v>
      </c>
    </row>
    <row r="71" spans="1:7" x14ac:dyDescent="0.35">
      <c r="A71" t="s">
        <v>98</v>
      </c>
      <c r="B71">
        <v>2300</v>
      </c>
      <c r="C71">
        <v>3240</v>
      </c>
      <c r="D71" s="1">
        <v>0.28999999999999998</v>
      </c>
      <c r="E71">
        <v>-5</v>
      </c>
      <c r="F71" t="s">
        <v>82</v>
      </c>
      <c r="G71" t="e">
        <v>#VALUE!</v>
      </c>
    </row>
    <row r="72" spans="1:7" x14ac:dyDescent="0.35">
      <c r="A72" t="s">
        <v>99</v>
      </c>
      <c r="B72">
        <v>345</v>
      </c>
      <c r="C72">
        <v>602</v>
      </c>
      <c r="D72" s="1">
        <v>0.43</v>
      </c>
      <c r="E72">
        <v>-6</v>
      </c>
      <c r="F72" t="s">
        <v>94</v>
      </c>
      <c r="G72" t="e">
        <v>#VALUE!</v>
      </c>
    </row>
    <row r="73" spans="1:7" x14ac:dyDescent="0.35">
      <c r="A73" t="s">
        <v>100</v>
      </c>
      <c r="B73">
        <v>509</v>
      </c>
      <c r="C73">
        <v>899</v>
      </c>
      <c r="D73" s="1">
        <v>0.43</v>
      </c>
      <c r="E73">
        <v>-5</v>
      </c>
      <c r="F73" t="s">
        <v>82</v>
      </c>
      <c r="G73" t="e">
        <v>#VALUE!</v>
      </c>
    </row>
    <row r="74" spans="1:7" x14ac:dyDescent="0.35">
      <c r="A74" t="s">
        <v>101</v>
      </c>
      <c r="B74">
        <v>968</v>
      </c>
      <c r="C74">
        <v>1814</v>
      </c>
      <c r="D74" s="1">
        <v>0.47</v>
      </c>
      <c r="E74">
        <v>-6</v>
      </c>
      <c r="F74" t="s">
        <v>92</v>
      </c>
      <c r="G74" t="e">
        <v>#VALUE!</v>
      </c>
    </row>
    <row r="75" spans="1:7" x14ac:dyDescent="0.35">
      <c r="A75" t="s">
        <v>102</v>
      </c>
      <c r="B75">
        <v>1570</v>
      </c>
      <c r="C75">
        <v>2988</v>
      </c>
      <c r="D75" s="1">
        <v>0.47</v>
      </c>
      <c r="E75">
        <v>-7</v>
      </c>
      <c r="F75" t="s">
        <v>84</v>
      </c>
      <c r="G75" t="e">
        <v>#VALUE!</v>
      </c>
    </row>
    <row r="76" spans="1:7" x14ac:dyDescent="0.35">
      <c r="A76" t="s">
        <v>103</v>
      </c>
      <c r="B76">
        <v>790</v>
      </c>
      <c r="C76">
        <v>1485</v>
      </c>
      <c r="D76" s="1">
        <v>0.47</v>
      </c>
      <c r="E76" t="s">
        <v>38</v>
      </c>
      <c r="F76" t="s">
        <v>38</v>
      </c>
      <c r="G76" t="e">
        <v>#VALUE!</v>
      </c>
    </row>
    <row r="77" spans="1:7" x14ac:dyDescent="0.35">
      <c r="A77" t="s">
        <v>104</v>
      </c>
      <c r="B77">
        <v>690</v>
      </c>
      <c r="C77">
        <v>1200</v>
      </c>
      <c r="D77" s="1">
        <v>0.43</v>
      </c>
      <c r="E77" t="s">
        <v>38</v>
      </c>
      <c r="F77" t="s">
        <v>38</v>
      </c>
      <c r="G77" t="e">
        <v>#VALUE!</v>
      </c>
    </row>
    <row r="78" spans="1:7" x14ac:dyDescent="0.35">
      <c r="A78" t="s">
        <v>105</v>
      </c>
      <c r="B78">
        <v>1732</v>
      </c>
      <c r="C78">
        <v>1799</v>
      </c>
      <c r="D78" s="1">
        <v>0.04</v>
      </c>
      <c r="E78" t="s">
        <v>38</v>
      </c>
      <c r="F78" t="s">
        <v>38</v>
      </c>
      <c r="G78" t="e">
        <v>#VALUE!</v>
      </c>
    </row>
    <row r="79" spans="1:7" x14ac:dyDescent="0.35">
      <c r="A79" t="s">
        <v>106</v>
      </c>
      <c r="B79">
        <v>230</v>
      </c>
      <c r="C79">
        <v>450</v>
      </c>
      <c r="D79" s="1">
        <v>0.49</v>
      </c>
      <c r="E79" t="s">
        <v>38</v>
      </c>
      <c r="F79" t="s">
        <v>38</v>
      </c>
      <c r="G79" t="e">
        <v>#VALUE!</v>
      </c>
    </row>
    <row r="80" spans="1:7" x14ac:dyDescent="0.35">
      <c r="A80" t="s">
        <v>107</v>
      </c>
      <c r="B80">
        <v>1189</v>
      </c>
      <c r="C80">
        <v>2199</v>
      </c>
      <c r="D80" s="1">
        <v>0.46</v>
      </c>
      <c r="E80">
        <v>-1</v>
      </c>
      <c r="F80" t="s">
        <v>82</v>
      </c>
      <c r="G80" t="e">
        <v>#VALUE!</v>
      </c>
    </row>
    <row r="81" spans="1:7" x14ac:dyDescent="0.35">
      <c r="A81" t="s">
        <v>108</v>
      </c>
      <c r="B81">
        <v>979</v>
      </c>
      <c r="C81">
        <v>1920</v>
      </c>
      <c r="D81" s="1">
        <v>0.49</v>
      </c>
      <c r="E81">
        <v>-1</v>
      </c>
      <c r="F81" t="s">
        <v>30</v>
      </c>
      <c r="G81" t="e">
        <v>#VALUE!</v>
      </c>
    </row>
    <row r="82" spans="1:7" x14ac:dyDescent="0.35">
      <c r="A82" t="s">
        <v>109</v>
      </c>
      <c r="B82">
        <v>1460</v>
      </c>
      <c r="C82">
        <v>2290</v>
      </c>
      <c r="D82" s="1">
        <v>0.36</v>
      </c>
      <c r="E82" t="s">
        <v>38</v>
      </c>
      <c r="F82" t="s">
        <v>38</v>
      </c>
      <c r="G82" t="e">
        <v>#VALUE!</v>
      </c>
    </row>
    <row r="83" spans="1:7" x14ac:dyDescent="0.35">
      <c r="A83" t="s">
        <v>110</v>
      </c>
      <c r="B83">
        <v>1666</v>
      </c>
      <c r="C83">
        <v>1699</v>
      </c>
      <c r="D83" s="1">
        <v>0.02</v>
      </c>
      <c r="E83" t="s">
        <v>38</v>
      </c>
      <c r="F83" t="s">
        <v>38</v>
      </c>
      <c r="G83" t="e">
        <v>#VALUE!</v>
      </c>
    </row>
    <row r="84" spans="1:7" x14ac:dyDescent="0.35">
      <c r="A84" t="s">
        <v>111</v>
      </c>
      <c r="B84">
        <v>330</v>
      </c>
      <c r="C84">
        <v>647</v>
      </c>
      <c r="D84" s="1">
        <v>0.49</v>
      </c>
      <c r="E84">
        <v>-1</v>
      </c>
      <c r="F84" t="s">
        <v>17</v>
      </c>
      <c r="G84" t="e">
        <v>#VALUE!</v>
      </c>
    </row>
    <row r="85" spans="1:7" x14ac:dyDescent="0.35">
      <c r="A85" t="s">
        <v>63</v>
      </c>
      <c r="B85">
        <v>610</v>
      </c>
      <c r="C85">
        <v>1060</v>
      </c>
      <c r="D85" s="1">
        <v>0.42</v>
      </c>
      <c r="E85" t="s">
        <v>38</v>
      </c>
      <c r="F85" t="s">
        <v>38</v>
      </c>
      <c r="G85" t="e">
        <v>#VALUE!</v>
      </c>
    </row>
    <row r="86" spans="1:7" x14ac:dyDescent="0.35">
      <c r="A86" t="s">
        <v>69</v>
      </c>
      <c r="B86">
        <v>176</v>
      </c>
      <c r="C86">
        <v>345</v>
      </c>
      <c r="D86" s="1">
        <v>0.49</v>
      </c>
      <c r="E86" t="s">
        <v>38</v>
      </c>
      <c r="F86" t="s">
        <v>38</v>
      </c>
      <c r="G86" t="e">
        <v>#VALUE!</v>
      </c>
    </row>
    <row r="87" spans="1:7" x14ac:dyDescent="0.35">
      <c r="A87" t="s">
        <v>112</v>
      </c>
      <c r="B87">
        <v>1466</v>
      </c>
      <c r="C87">
        <v>1699</v>
      </c>
      <c r="D87" s="1">
        <v>0.14000000000000001</v>
      </c>
      <c r="E87" t="s">
        <v>38</v>
      </c>
      <c r="F87" t="s">
        <v>38</v>
      </c>
      <c r="G87" t="e">
        <v>#VALUE!</v>
      </c>
    </row>
    <row r="88" spans="1:7" x14ac:dyDescent="0.35">
      <c r="A88" t="s">
        <v>113</v>
      </c>
      <c r="B88">
        <v>274</v>
      </c>
      <c r="C88">
        <v>537</v>
      </c>
      <c r="D88" s="1">
        <v>0.49</v>
      </c>
      <c r="E88" t="s">
        <v>38</v>
      </c>
      <c r="F88" t="s">
        <v>38</v>
      </c>
      <c r="G88" t="e">
        <v>#VALUE!</v>
      </c>
    </row>
    <row r="89" spans="1:7" x14ac:dyDescent="0.35">
      <c r="A89" t="s">
        <v>114</v>
      </c>
      <c r="B89">
        <v>799</v>
      </c>
      <c r="C89">
        <v>900</v>
      </c>
      <c r="D89" s="1">
        <v>0.11</v>
      </c>
      <c r="E89" t="s">
        <v>38</v>
      </c>
      <c r="F89" t="s">
        <v>38</v>
      </c>
      <c r="G89" t="e">
        <v>#VALUE!</v>
      </c>
    </row>
    <row r="90" spans="1:7" x14ac:dyDescent="0.35">
      <c r="A90" t="s">
        <v>77</v>
      </c>
      <c r="B90">
        <v>657</v>
      </c>
      <c r="C90">
        <v>1288</v>
      </c>
      <c r="D90" s="1">
        <v>0.49</v>
      </c>
      <c r="E90" t="s">
        <v>38</v>
      </c>
      <c r="F90" t="s">
        <v>38</v>
      </c>
      <c r="G90" t="e">
        <v>#VALUE!</v>
      </c>
    </row>
    <row r="91" spans="1:7" x14ac:dyDescent="0.35">
      <c r="A91" t="s">
        <v>115</v>
      </c>
      <c r="B91">
        <v>1468</v>
      </c>
      <c r="C91">
        <v>1699</v>
      </c>
      <c r="D91" s="1">
        <v>0.14000000000000001</v>
      </c>
      <c r="E91" t="s">
        <v>38</v>
      </c>
      <c r="F91" t="s">
        <v>38</v>
      </c>
      <c r="G91" t="e">
        <v>#VALUE!</v>
      </c>
    </row>
    <row r="92" spans="1:7" x14ac:dyDescent="0.35">
      <c r="A92" t="s">
        <v>116</v>
      </c>
      <c r="B92">
        <v>630</v>
      </c>
      <c r="C92">
        <v>1100</v>
      </c>
      <c r="D92" s="1">
        <v>0.43</v>
      </c>
      <c r="E92" t="s">
        <v>38</v>
      </c>
      <c r="F92" t="s">
        <v>38</v>
      </c>
      <c r="G92" t="e">
        <v>#VALUE!</v>
      </c>
    </row>
    <row r="93" spans="1:7" x14ac:dyDescent="0.35">
      <c r="A93" t="s">
        <v>117</v>
      </c>
      <c r="B93">
        <v>850</v>
      </c>
      <c r="C93">
        <v>1700</v>
      </c>
      <c r="D93" s="1">
        <v>0.5</v>
      </c>
      <c r="E93" t="s">
        <v>38</v>
      </c>
      <c r="F93" t="s">
        <v>38</v>
      </c>
      <c r="G93" t="e">
        <v>#VALUE!</v>
      </c>
    </row>
    <row r="94" spans="1:7" x14ac:dyDescent="0.35">
      <c r="A94" t="s">
        <v>118</v>
      </c>
      <c r="B94">
        <v>1300</v>
      </c>
      <c r="C94">
        <v>2500</v>
      </c>
      <c r="D94" s="1">
        <v>0.48</v>
      </c>
      <c r="E94" t="s">
        <v>38</v>
      </c>
      <c r="F94" t="s">
        <v>38</v>
      </c>
      <c r="G94" t="e">
        <v>#VALUE!</v>
      </c>
    </row>
    <row r="95" spans="1:7" x14ac:dyDescent="0.35">
      <c r="A95" t="s">
        <v>119</v>
      </c>
      <c r="B95">
        <v>105</v>
      </c>
      <c r="C95">
        <v>200</v>
      </c>
      <c r="D95" s="1">
        <v>0.48</v>
      </c>
      <c r="E95" t="s">
        <v>38</v>
      </c>
      <c r="F95" t="s">
        <v>38</v>
      </c>
      <c r="G95" t="e">
        <v>#VALUE!</v>
      </c>
    </row>
    <row r="96" spans="1:7" x14ac:dyDescent="0.35">
      <c r="A96" t="s">
        <v>120</v>
      </c>
      <c r="B96">
        <v>899</v>
      </c>
      <c r="C96">
        <v>1699</v>
      </c>
      <c r="D96" s="1">
        <v>0.47</v>
      </c>
      <c r="E96" t="s">
        <v>38</v>
      </c>
      <c r="F96" t="s">
        <v>38</v>
      </c>
      <c r="G96" t="e">
        <v>#VALUE!</v>
      </c>
    </row>
    <row r="97" spans="1:7" x14ac:dyDescent="0.35">
      <c r="A97" t="s">
        <v>121</v>
      </c>
      <c r="B97">
        <v>1200</v>
      </c>
      <c r="C97">
        <v>2400</v>
      </c>
      <c r="D97" s="1">
        <v>0.5</v>
      </c>
      <c r="E97" t="s">
        <v>38</v>
      </c>
      <c r="F97" t="s">
        <v>38</v>
      </c>
      <c r="G97" t="e">
        <v>#VALUE!</v>
      </c>
    </row>
    <row r="98" spans="1:7" x14ac:dyDescent="0.35">
      <c r="A98" t="s">
        <v>122</v>
      </c>
      <c r="B98">
        <v>1526</v>
      </c>
      <c r="C98">
        <v>1660</v>
      </c>
      <c r="D98" s="1">
        <v>0.08</v>
      </c>
      <c r="E98" t="s">
        <v>38</v>
      </c>
      <c r="F98" t="s">
        <v>38</v>
      </c>
      <c r="G98" t="e">
        <v>#VALUE!</v>
      </c>
    </row>
    <row r="99" spans="1:7" x14ac:dyDescent="0.35">
      <c r="A99" t="s">
        <v>123</v>
      </c>
      <c r="B99">
        <v>1462</v>
      </c>
      <c r="C99">
        <v>1499</v>
      </c>
      <c r="D99" s="1">
        <v>0.02</v>
      </c>
      <c r="E99" t="s">
        <v>38</v>
      </c>
      <c r="F99" t="s">
        <v>38</v>
      </c>
      <c r="G99" t="e">
        <v>#VALUE!</v>
      </c>
    </row>
    <row r="100" spans="1:7" x14ac:dyDescent="0.35">
      <c r="A100" t="s">
        <v>124</v>
      </c>
      <c r="B100">
        <v>248</v>
      </c>
      <c r="C100">
        <v>486</v>
      </c>
      <c r="D100" s="1">
        <v>0.49</v>
      </c>
      <c r="E100" t="s">
        <v>38</v>
      </c>
      <c r="F100" t="s">
        <v>38</v>
      </c>
      <c r="G100" t="e">
        <v>#VALUE!</v>
      </c>
    </row>
    <row r="101" spans="1:7" x14ac:dyDescent="0.35">
      <c r="A101" t="s">
        <v>125</v>
      </c>
      <c r="B101">
        <v>3546</v>
      </c>
      <c r="C101">
        <v>3699</v>
      </c>
      <c r="D101" s="1">
        <v>0.04</v>
      </c>
      <c r="E101" t="s">
        <v>38</v>
      </c>
      <c r="F101" t="s">
        <v>38</v>
      </c>
      <c r="G101" t="e">
        <v>#VALUE!</v>
      </c>
    </row>
    <row r="102" spans="1:7" x14ac:dyDescent="0.35">
      <c r="A102" t="s">
        <v>126</v>
      </c>
      <c r="B102">
        <v>525</v>
      </c>
      <c r="C102">
        <v>1029</v>
      </c>
      <c r="D102" s="1">
        <v>0.49</v>
      </c>
      <c r="E102" t="s">
        <v>38</v>
      </c>
      <c r="F102" t="s">
        <v>38</v>
      </c>
      <c r="G102" t="e">
        <v>#VALUE!</v>
      </c>
    </row>
    <row r="103" spans="1:7" x14ac:dyDescent="0.35">
      <c r="A103" t="s">
        <v>127</v>
      </c>
      <c r="B103">
        <v>1080</v>
      </c>
      <c r="C103">
        <v>1874</v>
      </c>
      <c r="D103" s="1">
        <v>0.42</v>
      </c>
      <c r="E103" t="s">
        <v>38</v>
      </c>
      <c r="F103" t="s">
        <v>38</v>
      </c>
      <c r="G103" t="e">
        <v>#VALUE!</v>
      </c>
    </row>
    <row r="104" spans="1:7" x14ac:dyDescent="0.35">
      <c r="A104" t="s">
        <v>128</v>
      </c>
      <c r="B104">
        <v>3640</v>
      </c>
      <c r="C104">
        <v>4588</v>
      </c>
      <c r="D104" s="1">
        <v>0.21</v>
      </c>
      <c r="E104">
        <v>-1</v>
      </c>
      <c r="F104" t="s">
        <v>30</v>
      </c>
      <c r="G104" t="e">
        <v>#VALUE!</v>
      </c>
    </row>
    <row r="105" spans="1:7" x14ac:dyDescent="0.35">
      <c r="A105" t="s">
        <v>129</v>
      </c>
      <c r="B105">
        <v>1420</v>
      </c>
      <c r="C105">
        <v>2420</v>
      </c>
      <c r="D105" s="1">
        <v>0.41</v>
      </c>
      <c r="E105" t="s">
        <v>38</v>
      </c>
      <c r="F105" t="s">
        <v>38</v>
      </c>
      <c r="G105" t="e">
        <v>#VALUE!</v>
      </c>
    </row>
    <row r="106" spans="1:7" x14ac:dyDescent="0.35">
      <c r="A106" t="s">
        <v>130</v>
      </c>
      <c r="B106">
        <v>1875</v>
      </c>
      <c r="C106">
        <v>1899</v>
      </c>
      <c r="D106" s="1">
        <v>0.01</v>
      </c>
      <c r="E106" t="s">
        <v>38</v>
      </c>
      <c r="F106" t="s">
        <v>38</v>
      </c>
      <c r="G106" t="e">
        <v>#VALUE!</v>
      </c>
    </row>
    <row r="107" spans="1:7" x14ac:dyDescent="0.35">
      <c r="A107" t="s">
        <v>131</v>
      </c>
      <c r="B107">
        <v>198</v>
      </c>
      <c r="C107">
        <v>260</v>
      </c>
      <c r="D107" s="1">
        <v>0.24</v>
      </c>
      <c r="E107" t="s">
        <v>38</v>
      </c>
      <c r="F107" t="s">
        <v>38</v>
      </c>
      <c r="G107" t="e">
        <v>#VALUE!</v>
      </c>
    </row>
    <row r="108" spans="1:7" x14ac:dyDescent="0.35">
      <c r="A108" t="s">
        <v>132</v>
      </c>
      <c r="B108">
        <v>1150</v>
      </c>
      <c r="C108">
        <v>1737</v>
      </c>
      <c r="D108" s="1">
        <v>0.34</v>
      </c>
      <c r="E108" t="s">
        <v>38</v>
      </c>
      <c r="F108" t="s">
        <v>38</v>
      </c>
      <c r="G108" t="e">
        <v>#VALUE!</v>
      </c>
    </row>
    <row r="109" spans="1:7" x14ac:dyDescent="0.35">
      <c r="A109" t="s">
        <v>133</v>
      </c>
      <c r="B109">
        <v>1190</v>
      </c>
      <c r="C109">
        <v>1810</v>
      </c>
      <c r="D109" s="1">
        <v>0.34</v>
      </c>
      <c r="E109" t="s">
        <v>38</v>
      </c>
      <c r="F109" t="s">
        <v>38</v>
      </c>
      <c r="G109" t="e">
        <v>#VALUE!</v>
      </c>
    </row>
    <row r="110" spans="1:7" x14ac:dyDescent="0.35">
      <c r="A110" t="s">
        <v>134</v>
      </c>
      <c r="B110">
        <v>1658</v>
      </c>
      <c r="C110">
        <v>1699</v>
      </c>
      <c r="D110" s="1">
        <v>0.02</v>
      </c>
      <c r="E110" t="s">
        <v>38</v>
      </c>
      <c r="F110" t="s">
        <v>38</v>
      </c>
      <c r="G110" t="e">
        <v>#VALUE!</v>
      </c>
    </row>
    <row r="111" spans="1:7" x14ac:dyDescent="0.35">
      <c r="A111" t="s">
        <v>135</v>
      </c>
      <c r="B111">
        <v>1768</v>
      </c>
      <c r="C111">
        <v>1799</v>
      </c>
      <c r="D111" s="1">
        <v>0.02</v>
      </c>
      <c r="E111" t="s">
        <v>38</v>
      </c>
      <c r="F111" t="s">
        <v>38</v>
      </c>
      <c r="G111" t="e">
        <v>#VALUE!</v>
      </c>
    </row>
    <row r="112" spans="1:7" x14ac:dyDescent="0.35">
      <c r="A112" t="s">
        <v>136</v>
      </c>
      <c r="B112">
        <v>199</v>
      </c>
      <c r="C112">
        <v>553</v>
      </c>
      <c r="D112" s="1">
        <v>0.64</v>
      </c>
      <c r="E112" t="s">
        <v>38</v>
      </c>
      <c r="F112" t="s">
        <v>38</v>
      </c>
      <c r="G112" t="e">
        <v>#VALUE!</v>
      </c>
    </row>
    <row r="113" spans="1:7" x14ac:dyDescent="0.35">
      <c r="A113" t="s">
        <v>137</v>
      </c>
      <c r="B113">
        <v>450</v>
      </c>
      <c r="C113">
        <v>900</v>
      </c>
      <c r="D113" s="1">
        <v>0.5</v>
      </c>
      <c r="E113">
        <v>-1</v>
      </c>
      <c r="F113" t="s">
        <v>138</v>
      </c>
      <c r="G113" t="e">
        <v>#VALUE!</v>
      </c>
    </row>
    <row r="114" spans="1:7" x14ac:dyDescent="0.35">
      <c r="A114" t="s">
        <v>139</v>
      </c>
      <c r="B114">
        <v>169</v>
      </c>
      <c r="C114">
        <v>320</v>
      </c>
      <c r="D114" s="1">
        <v>0.47</v>
      </c>
      <c r="E114" t="s">
        <v>38</v>
      </c>
      <c r="F114" t="s">
        <v>38</v>
      </c>
      <c r="G114" t="e">
        <v>#VALUE!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6D3CF-8010-4E68-A094-2B245445272F}">
  <dimension ref="A1:F113"/>
  <sheetViews>
    <sheetView workbookViewId="0">
      <selection sqref="A1:XFD1048576"/>
    </sheetView>
  </sheetViews>
  <sheetFormatPr defaultRowHeight="14.5" x14ac:dyDescent="0.35"/>
  <cols>
    <col min="1" max="1" width="89.1796875" bestFit="1" customWidth="1"/>
    <col min="2" max="3" width="12.1796875" style="2" bestFit="1" customWidth="1"/>
    <col min="4" max="4" width="8.08984375" bestFit="1" customWidth="1"/>
    <col min="5" max="5" width="8.81640625" bestFit="1" customWidth="1"/>
    <col min="6" max="6" width="10.26953125" bestFit="1" customWidth="1"/>
  </cols>
  <sheetData>
    <row r="1" spans="1:6" x14ac:dyDescent="0.35">
      <c r="A1" t="s">
        <v>0</v>
      </c>
      <c r="B1" s="2" t="s">
        <v>1</v>
      </c>
      <c r="C1" s="2" t="s">
        <v>2</v>
      </c>
      <c r="D1" t="s">
        <v>3</v>
      </c>
      <c r="E1" t="s">
        <v>4</v>
      </c>
      <c r="F1" t="s">
        <v>5</v>
      </c>
    </row>
    <row r="2" spans="1:6" x14ac:dyDescent="0.35">
      <c r="A2" t="s">
        <v>6</v>
      </c>
      <c r="B2" s="2">
        <v>950</v>
      </c>
      <c r="C2" s="2">
        <v>1525</v>
      </c>
      <c r="D2" s="1">
        <v>0.38</v>
      </c>
      <c r="E2">
        <v>2</v>
      </c>
      <c r="F2">
        <v>4.5</v>
      </c>
    </row>
    <row r="3" spans="1:6" x14ac:dyDescent="0.35">
      <c r="A3" t="s">
        <v>8</v>
      </c>
      <c r="B3" s="2">
        <v>527</v>
      </c>
      <c r="C3" s="2">
        <v>999</v>
      </c>
      <c r="D3" s="1">
        <v>0.47</v>
      </c>
      <c r="E3">
        <v>14</v>
      </c>
      <c r="F3">
        <v>4.0999999999999996</v>
      </c>
    </row>
    <row r="4" spans="1:6" x14ac:dyDescent="0.35">
      <c r="A4" t="s">
        <v>10</v>
      </c>
      <c r="B4" s="2">
        <v>2199</v>
      </c>
      <c r="C4" s="2">
        <v>2923</v>
      </c>
      <c r="D4" s="1">
        <v>0.25</v>
      </c>
      <c r="E4">
        <v>24</v>
      </c>
      <c r="F4">
        <v>4.5999999999999996</v>
      </c>
    </row>
    <row r="5" spans="1:6" x14ac:dyDescent="0.35">
      <c r="A5" t="s">
        <v>12</v>
      </c>
      <c r="B5" s="2">
        <v>1580</v>
      </c>
      <c r="C5" s="2">
        <v>2499</v>
      </c>
      <c r="D5" s="1">
        <v>0.37</v>
      </c>
      <c r="E5">
        <v>7</v>
      </c>
      <c r="F5">
        <v>4.7</v>
      </c>
    </row>
    <row r="6" spans="1:6" x14ac:dyDescent="0.35">
      <c r="A6" t="s">
        <v>14</v>
      </c>
      <c r="B6" s="2">
        <v>1740</v>
      </c>
      <c r="C6" s="2">
        <v>2356</v>
      </c>
      <c r="D6" s="1">
        <v>0.26</v>
      </c>
      <c r="E6">
        <v>5</v>
      </c>
      <c r="F6">
        <v>4.8</v>
      </c>
    </row>
    <row r="7" spans="1:6" x14ac:dyDescent="0.35">
      <c r="A7" t="s">
        <v>16</v>
      </c>
      <c r="B7" s="2">
        <v>2999</v>
      </c>
      <c r="C7" s="2">
        <v>3290</v>
      </c>
      <c r="D7" s="1">
        <v>0.09</v>
      </c>
      <c r="E7">
        <v>15</v>
      </c>
      <c r="F7">
        <v>4</v>
      </c>
    </row>
    <row r="8" spans="1:6" x14ac:dyDescent="0.35">
      <c r="A8" t="s">
        <v>18</v>
      </c>
      <c r="B8" s="2">
        <v>2319</v>
      </c>
      <c r="C8" s="2">
        <v>3032</v>
      </c>
      <c r="D8" s="1">
        <v>0.24</v>
      </c>
      <c r="E8">
        <v>55</v>
      </c>
      <c r="F8">
        <v>4.5999999999999996</v>
      </c>
    </row>
    <row r="9" spans="1:6" x14ac:dyDescent="0.35">
      <c r="A9" t="s">
        <v>19</v>
      </c>
      <c r="B9" s="2">
        <v>988</v>
      </c>
      <c r="C9" s="2">
        <v>1580</v>
      </c>
      <c r="D9" s="1">
        <v>0.37</v>
      </c>
      <c r="E9">
        <v>2</v>
      </c>
      <c r="F9">
        <v>4</v>
      </c>
    </row>
    <row r="10" spans="1:6" x14ac:dyDescent="0.35">
      <c r="A10" t="s">
        <v>20</v>
      </c>
      <c r="B10" s="2">
        <v>1274</v>
      </c>
      <c r="C10" s="2">
        <v>2800</v>
      </c>
      <c r="D10" s="1">
        <v>0.55000000000000004</v>
      </c>
      <c r="E10">
        <v>5</v>
      </c>
      <c r="F10">
        <v>4.8</v>
      </c>
    </row>
    <row r="11" spans="1:6" x14ac:dyDescent="0.35">
      <c r="A11" t="s">
        <v>21</v>
      </c>
      <c r="B11" s="2">
        <v>1600</v>
      </c>
      <c r="C11" s="2">
        <v>2929</v>
      </c>
      <c r="D11" s="1">
        <v>0.45</v>
      </c>
      <c r="E11">
        <v>5</v>
      </c>
      <c r="F11">
        <v>3.8</v>
      </c>
    </row>
    <row r="12" spans="1:6" x14ac:dyDescent="0.35">
      <c r="A12" t="s">
        <v>23</v>
      </c>
      <c r="B12" s="2">
        <v>799</v>
      </c>
      <c r="C12" s="2">
        <v>999</v>
      </c>
      <c r="D12" s="1">
        <v>0.2</v>
      </c>
      <c r="E12">
        <v>12</v>
      </c>
      <c r="F12">
        <v>4.0999999999999996</v>
      </c>
    </row>
    <row r="13" spans="1:6" x14ac:dyDescent="0.35">
      <c r="A13" t="s">
        <v>24</v>
      </c>
      <c r="B13" s="2">
        <v>990</v>
      </c>
      <c r="C13" s="2">
        <v>1500</v>
      </c>
      <c r="D13" s="1">
        <v>0.34</v>
      </c>
      <c r="E13">
        <v>39</v>
      </c>
      <c r="F13">
        <v>4.7</v>
      </c>
    </row>
    <row r="14" spans="1:6" x14ac:dyDescent="0.35">
      <c r="A14" t="s">
        <v>25</v>
      </c>
      <c r="B14" s="2">
        <v>552</v>
      </c>
      <c r="C14" s="2">
        <v>1035</v>
      </c>
      <c r="D14" s="1">
        <v>0.47</v>
      </c>
      <c r="E14">
        <v>12</v>
      </c>
      <c r="F14">
        <v>4.8</v>
      </c>
    </row>
    <row r="15" spans="1:6" x14ac:dyDescent="0.35">
      <c r="A15" t="s">
        <v>26</v>
      </c>
      <c r="B15" s="2">
        <v>501</v>
      </c>
      <c r="C15" s="2">
        <v>860</v>
      </c>
      <c r="D15" s="1">
        <v>0.42</v>
      </c>
      <c r="E15">
        <v>6</v>
      </c>
      <c r="F15">
        <v>4.5</v>
      </c>
    </row>
    <row r="16" spans="1:6" x14ac:dyDescent="0.35">
      <c r="A16" t="s">
        <v>27</v>
      </c>
      <c r="B16" s="2">
        <v>1680</v>
      </c>
      <c r="C16" s="2">
        <v>2499</v>
      </c>
      <c r="D16" s="1">
        <v>0.33</v>
      </c>
      <c r="E16">
        <v>9</v>
      </c>
      <c r="F16">
        <v>4.2</v>
      </c>
    </row>
    <row r="17" spans="1:6" x14ac:dyDescent="0.35">
      <c r="A17" t="s">
        <v>29</v>
      </c>
      <c r="B17" s="2">
        <v>332</v>
      </c>
      <c r="C17" s="2">
        <v>684</v>
      </c>
      <c r="D17" s="1">
        <v>0.51</v>
      </c>
      <c r="E17">
        <v>2</v>
      </c>
      <c r="F17">
        <v>5</v>
      </c>
    </row>
    <row r="18" spans="1:6" x14ac:dyDescent="0.35">
      <c r="A18" t="s">
        <v>31</v>
      </c>
      <c r="B18" s="2">
        <v>195</v>
      </c>
      <c r="C18" s="2">
        <v>360</v>
      </c>
      <c r="D18" s="1">
        <v>0.46</v>
      </c>
      <c r="E18">
        <v>2</v>
      </c>
      <c r="F18">
        <v>5</v>
      </c>
    </row>
    <row r="19" spans="1:6" x14ac:dyDescent="0.35">
      <c r="A19" t="s">
        <v>32</v>
      </c>
      <c r="B19" s="2">
        <v>2025</v>
      </c>
      <c r="C19" s="2">
        <v>3971</v>
      </c>
      <c r="D19" s="1">
        <v>0.49</v>
      </c>
      <c r="E19">
        <v>3</v>
      </c>
      <c r="F19">
        <v>5</v>
      </c>
    </row>
    <row r="20" spans="1:6" x14ac:dyDescent="0.35">
      <c r="A20" t="s">
        <v>33</v>
      </c>
      <c r="B20" s="2">
        <v>2999</v>
      </c>
      <c r="C20" s="2">
        <v>3699</v>
      </c>
      <c r="D20" s="1">
        <v>0.19</v>
      </c>
      <c r="E20">
        <v>5</v>
      </c>
      <c r="F20">
        <v>4.5999999999999996</v>
      </c>
    </row>
    <row r="21" spans="1:6" x14ac:dyDescent="0.35">
      <c r="A21" t="s">
        <v>34</v>
      </c>
      <c r="B21" s="2">
        <v>998</v>
      </c>
      <c r="C21" s="2">
        <v>1966</v>
      </c>
      <c r="D21" s="1">
        <v>0.49</v>
      </c>
      <c r="E21">
        <v>44</v>
      </c>
      <c r="F21">
        <v>4.5999999999999996</v>
      </c>
    </row>
    <row r="22" spans="1:6" x14ac:dyDescent="0.35">
      <c r="A22" t="s">
        <v>35</v>
      </c>
      <c r="B22" s="2">
        <v>38</v>
      </c>
      <c r="C22" s="2">
        <v>80</v>
      </c>
      <c r="D22" s="1">
        <v>0.53</v>
      </c>
      <c r="E22">
        <v>13</v>
      </c>
      <c r="F22">
        <v>3.3</v>
      </c>
    </row>
    <row r="23" spans="1:6" x14ac:dyDescent="0.35">
      <c r="A23" t="s">
        <v>37</v>
      </c>
      <c r="B23" s="2">
        <v>1860</v>
      </c>
      <c r="C23" s="2">
        <v>3220</v>
      </c>
      <c r="D23" s="1">
        <v>0.42</v>
      </c>
      <c r="E23" t="s">
        <v>38</v>
      </c>
      <c r="F23" t="s">
        <v>38</v>
      </c>
    </row>
    <row r="24" spans="1:6" x14ac:dyDescent="0.35">
      <c r="A24" t="s">
        <v>39</v>
      </c>
      <c r="B24" s="2">
        <v>880</v>
      </c>
      <c r="C24" s="2">
        <v>1350</v>
      </c>
      <c r="D24" s="1">
        <v>0.35</v>
      </c>
      <c r="E24">
        <v>6</v>
      </c>
      <c r="F24">
        <v>4</v>
      </c>
    </row>
    <row r="25" spans="1:6" x14ac:dyDescent="0.35">
      <c r="A25" t="s">
        <v>40</v>
      </c>
      <c r="B25" s="2">
        <v>1650</v>
      </c>
      <c r="C25" s="2">
        <v>2150</v>
      </c>
      <c r="D25" s="1">
        <v>0.23</v>
      </c>
      <c r="E25">
        <v>14</v>
      </c>
      <c r="F25">
        <v>4.4000000000000004</v>
      </c>
    </row>
    <row r="26" spans="1:6" x14ac:dyDescent="0.35">
      <c r="A26" t="s">
        <v>42</v>
      </c>
      <c r="B26" s="2">
        <v>2048</v>
      </c>
      <c r="C26" s="2">
        <v>4500</v>
      </c>
      <c r="D26" s="1">
        <v>0.54</v>
      </c>
      <c r="E26">
        <v>7</v>
      </c>
      <c r="F26">
        <v>4.3</v>
      </c>
    </row>
    <row r="27" spans="1:6" x14ac:dyDescent="0.35">
      <c r="A27" t="s">
        <v>44</v>
      </c>
      <c r="B27" s="2">
        <v>420</v>
      </c>
      <c r="C27" s="2">
        <v>647</v>
      </c>
      <c r="D27" s="1">
        <v>0.35</v>
      </c>
      <c r="E27">
        <v>49</v>
      </c>
      <c r="F27">
        <v>4.5999999999999996</v>
      </c>
    </row>
    <row r="28" spans="1:6" x14ac:dyDescent="0.35">
      <c r="A28" t="s">
        <v>45</v>
      </c>
      <c r="B28" s="2">
        <v>2880</v>
      </c>
      <c r="C28" s="2">
        <v>3520</v>
      </c>
      <c r="D28" s="1">
        <v>0.18</v>
      </c>
      <c r="E28">
        <v>12</v>
      </c>
      <c r="F28">
        <v>3.8</v>
      </c>
    </row>
    <row r="29" spans="1:6" x14ac:dyDescent="0.35">
      <c r="A29" t="s">
        <v>46</v>
      </c>
      <c r="B29" s="2">
        <v>1350</v>
      </c>
      <c r="C29" s="2">
        <v>1990</v>
      </c>
      <c r="D29" s="1">
        <v>0.32</v>
      </c>
      <c r="E29">
        <v>13</v>
      </c>
      <c r="F29">
        <v>3.8</v>
      </c>
    </row>
    <row r="30" spans="1:6" x14ac:dyDescent="0.35">
      <c r="A30" t="s">
        <v>47</v>
      </c>
      <c r="B30" s="2">
        <v>1758</v>
      </c>
      <c r="C30" s="2">
        <v>2499</v>
      </c>
      <c r="D30" s="1">
        <v>0.3</v>
      </c>
      <c r="E30">
        <v>20</v>
      </c>
      <c r="F30">
        <v>4.0999999999999996</v>
      </c>
    </row>
    <row r="31" spans="1:6" x14ac:dyDescent="0.35">
      <c r="A31" t="s">
        <v>48</v>
      </c>
      <c r="B31" s="2">
        <v>2200</v>
      </c>
      <c r="C31" s="2">
        <v>4080</v>
      </c>
      <c r="D31" s="1">
        <v>0.46</v>
      </c>
      <c r="E31" t="s">
        <v>38</v>
      </c>
      <c r="F31" t="s">
        <v>38</v>
      </c>
    </row>
    <row r="32" spans="1:6" x14ac:dyDescent="0.35">
      <c r="A32" t="s">
        <v>49</v>
      </c>
      <c r="B32" s="2">
        <v>185</v>
      </c>
      <c r="C32" s="2">
        <v>382</v>
      </c>
      <c r="D32" s="1">
        <v>0.52</v>
      </c>
      <c r="E32">
        <v>9</v>
      </c>
      <c r="F32">
        <v>4.3</v>
      </c>
    </row>
    <row r="33" spans="1:6" x14ac:dyDescent="0.35">
      <c r="A33" t="s">
        <v>50</v>
      </c>
      <c r="B33" s="2">
        <v>980</v>
      </c>
      <c r="C33" s="2">
        <v>1490</v>
      </c>
      <c r="D33" s="1">
        <v>0.34</v>
      </c>
      <c r="E33">
        <v>12</v>
      </c>
      <c r="F33">
        <v>4.7</v>
      </c>
    </row>
    <row r="34" spans="1:6" x14ac:dyDescent="0.35">
      <c r="A34" t="s">
        <v>51</v>
      </c>
      <c r="B34" s="2">
        <v>1820</v>
      </c>
      <c r="C34" s="2">
        <v>3490</v>
      </c>
      <c r="D34" s="1">
        <v>0.48</v>
      </c>
      <c r="E34">
        <v>9</v>
      </c>
      <c r="F34">
        <v>4.3</v>
      </c>
    </row>
    <row r="35" spans="1:6" x14ac:dyDescent="0.35">
      <c r="A35" t="s">
        <v>52</v>
      </c>
      <c r="B35" s="2">
        <v>1940</v>
      </c>
      <c r="C35" s="2">
        <v>2650</v>
      </c>
      <c r="D35" s="1">
        <v>0.27</v>
      </c>
      <c r="E35">
        <v>20</v>
      </c>
      <c r="F35">
        <v>4.7</v>
      </c>
    </row>
    <row r="36" spans="1:6" x14ac:dyDescent="0.35">
      <c r="A36" t="s">
        <v>53</v>
      </c>
      <c r="B36" s="2">
        <v>1980</v>
      </c>
      <c r="C36" s="2">
        <v>2699</v>
      </c>
      <c r="D36" s="1">
        <v>0.27</v>
      </c>
      <c r="E36">
        <v>32</v>
      </c>
      <c r="F36">
        <v>4.5</v>
      </c>
    </row>
    <row r="37" spans="1:6" x14ac:dyDescent="0.35">
      <c r="A37" t="s">
        <v>54</v>
      </c>
      <c r="B37" s="2">
        <v>1620</v>
      </c>
      <c r="C37" s="2">
        <v>2690</v>
      </c>
      <c r="D37" s="1">
        <v>0.4</v>
      </c>
      <c r="E37">
        <v>1</v>
      </c>
      <c r="F37">
        <v>5</v>
      </c>
    </row>
    <row r="38" spans="1:6" x14ac:dyDescent="0.35">
      <c r="A38" t="s">
        <v>55</v>
      </c>
      <c r="B38" s="2">
        <v>171</v>
      </c>
      <c r="C38" s="2">
        <v>360</v>
      </c>
      <c r="D38" s="1">
        <v>0.53</v>
      </c>
      <c r="E38">
        <v>2</v>
      </c>
      <c r="F38">
        <v>5</v>
      </c>
    </row>
    <row r="39" spans="1:6" x14ac:dyDescent="0.35">
      <c r="A39" t="s">
        <v>56</v>
      </c>
      <c r="B39" s="2">
        <v>389</v>
      </c>
      <c r="C39" s="2">
        <v>656</v>
      </c>
      <c r="D39" s="1">
        <v>0.41</v>
      </c>
      <c r="E39">
        <v>36</v>
      </c>
      <c r="F39">
        <v>4.3</v>
      </c>
    </row>
    <row r="40" spans="1:6" x14ac:dyDescent="0.35">
      <c r="A40" t="s">
        <v>57</v>
      </c>
      <c r="B40" s="2">
        <f>AVERAGE(1620,1980)</f>
        <v>1800</v>
      </c>
      <c r="C40" s="2">
        <f>AVERAGE(2200,3200)</f>
        <v>2700</v>
      </c>
      <c r="D40" s="1">
        <v>0.38</v>
      </c>
      <c r="E40">
        <v>2</v>
      </c>
      <c r="F40">
        <v>4.5</v>
      </c>
    </row>
    <row r="41" spans="1:6" x14ac:dyDescent="0.35">
      <c r="A41" t="s">
        <v>60</v>
      </c>
      <c r="B41" s="2">
        <v>2750</v>
      </c>
      <c r="C41" s="2">
        <v>4471</v>
      </c>
      <c r="D41" s="1">
        <v>0.38</v>
      </c>
      <c r="E41" t="s">
        <v>38</v>
      </c>
      <c r="F41" t="s">
        <v>38</v>
      </c>
    </row>
    <row r="42" spans="1:6" x14ac:dyDescent="0.35">
      <c r="A42" t="s">
        <v>61</v>
      </c>
      <c r="B42" s="2">
        <v>475</v>
      </c>
      <c r="C42" s="2">
        <v>931</v>
      </c>
      <c r="D42" s="1">
        <v>0.49</v>
      </c>
      <c r="E42" t="s">
        <v>38</v>
      </c>
      <c r="F42" t="s">
        <v>38</v>
      </c>
    </row>
    <row r="43" spans="1:6" x14ac:dyDescent="0.35">
      <c r="A43" t="s">
        <v>62</v>
      </c>
      <c r="B43" s="2">
        <v>238</v>
      </c>
      <c r="C43" s="2">
        <v>476</v>
      </c>
      <c r="D43" s="1">
        <v>0.5</v>
      </c>
      <c r="E43" t="s">
        <v>38</v>
      </c>
      <c r="F43" t="s">
        <v>38</v>
      </c>
    </row>
    <row r="44" spans="1:6" x14ac:dyDescent="0.35">
      <c r="A44" t="s">
        <v>63</v>
      </c>
      <c r="B44" s="2">
        <v>610</v>
      </c>
      <c r="C44" s="2">
        <v>1060</v>
      </c>
      <c r="D44" s="1">
        <v>0.42</v>
      </c>
      <c r="E44" t="s">
        <v>38</v>
      </c>
      <c r="F44" t="s">
        <v>38</v>
      </c>
    </row>
    <row r="45" spans="1:6" x14ac:dyDescent="0.35">
      <c r="A45" t="s">
        <v>64</v>
      </c>
      <c r="B45" s="2">
        <v>2132</v>
      </c>
      <c r="C45" s="2">
        <v>2169</v>
      </c>
      <c r="D45" s="1">
        <v>0.02</v>
      </c>
      <c r="E45" t="s">
        <v>38</v>
      </c>
      <c r="F45" t="s">
        <v>38</v>
      </c>
    </row>
    <row r="46" spans="1:6" x14ac:dyDescent="0.35">
      <c r="A46" t="s">
        <v>65</v>
      </c>
      <c r="B46" s="2">
        <v>999</v>
      </c>
      <c r="C46" s="2">
        <v>2000</v>
      </c>
      <c r="D46" s="1">
        <v>0.5</v>
      </c>
      <c r="E46" t="s">
        <v>38</v>
      </c>
      <c r="F46" t="s">
        <v>38</v>
      </c>
    </row>
    <row r="47" spans="1:6" x14ac:dyDescent="0.35">
      <c r="A47" t="s">
        <v>66</v>
      </c>
      <c r="B47" s="2">
        <v>1190</v>
      </c>
      <c r="C47" s="2">
        <v>1785</v>
      </c>
      <c r="D47" s="1">
        <v>0.33</v>
      </c>
      <c r="E47" t="s">
        <v>38</v>
      </c>
      <c r="F47" t="s">
        <v>38</v>
      </c>
    </row>
    <row r="48" spans="1:6" x14ac:dyDescent="0.35">
      <c r="A48" t="s">
        <v>67</v>
      </c>
      <c r="B48" s="2">
        <v>671</v>
      </c>
      <c r="C48" s="2">
        <v>1316</v>
      </c>
      <c r="D48" s="1">
        <v>0.49</v>
      </c>
      <c r="E48" t="s">
        <v>38</v>
      </c>
      <c r="F48" t="s">
        <v>38</v>
      </c>
    </row>
    <row r="49" spans="1:6" x14ac:dyDescent="0.35">
      <c r="A49" t="s">
        <v>68</v>
      </c>
      <c r="B49" s="2">
        <v>1200</v>
      </c>
      <c r="C49" s="2">
        <v>1950</v>
      </c>
      <c r="D49" s="1">
        <v>0.38</v>
      </c>
      <c r="E49" t="s">
        <v>38</v>
      </c>
      <c r="F49" t="s">
        <v>38</v>
      </c>
    </row>
    <row r="50" spans="1:6" x14ac:dyDescent="0.35">
      <c r="A50" t="s">
        <v>69</v>
      </c>
      <c r="B50" s="2">
        <v>199</v>
      </c>
      <c r="C50" s="2">
        <v>504</v>
      </c>
      <c r="D50" s="1">
        <v>0.61</v>
      </c>
      <c r="E50" t="s">
        <v>38</v>
      </c>
      <c r="F50" t="s">
        <v>38</v>
      </c>
    </row>
    <row r="51" spans="1:6" x14ac:dyDescent="0.35">
      <c r="A51" t="s">
        <v>70</v>
      </c>
      <c r="B51" s="2">
        <v>299</v>
      </c>
      <c r="C51" s="2">
        <v>600</v>
      </c>
      <c r="D51" s="1">
        <v>0.5</v>
      </c>
      <c r="E51" t="s">
        <v>38</v>
      </c>
      <c r="F51" t="s">
        <v>38</v>
      </c>
    </row>
    <row r="52" spans="1:6" x14ac:dyDescent="0.35">
      <c r="A52" t="s">
        <v>71</v>
      </c>
      <c r="B52" s="2">
        <v>1660</v>
      </c>
      <c r="C52" s="2">
        <v>1699</v>
      </c>
      <c r="D52" s="1">
        <v>0.02</v>
      </c>
      <c r="E52" t="s">
        <v>38</v>
      </c>
      <c r="F52" t="s">
        <v>38</v>
      </c>
    </row>
    <row r="53" spans="1:6" x14ac:dyDescent="0.35">
      <c r="A53" t="s">
        <v>72</v>
      </c>
      <c r="B53" s="2">
        <v>299</v>
      </c>
      <c r="C53" s="2">
        <v>384</v>
      </c>
      <c r="D53" s="1">
        <v>0.22</v>
      </c>
      <c r="E53" t="s">
        <v>38</v>
      </c>
      <c r="F53" t="s">
        <v>38</v>
      </c>
    </row>
    <row r="54" spans="1:6" x14ac:dyDescent="0.35">
      <c r="A54" t="s">
        <v>73</v>
      </c>
      <c r="B54" s="2">
        <v>1459</v>
      </c>
      <c r="C54" s="2">
        <v>1499</v>
      </c>
      <c r="D54" s="1">
        <v>0.03</v>
      </c>
      <c r="E54" t="s">
        <v>38</v>
      </c>
      <c r="F54" t="s">
        <v>38</v>
      </c>
    </row>
    <row r="55" spans="1:6" x14ac:dyDescent="0.35">
      <c r="A55" t="s">
        <v>74</v>
      </c>
      <c r="B55" s="2">
        <v>799</v>
      </c>
      <c r="C55" s="2">
        <v>1343</v>
      </c>
      <c r="D55" s="1">
        <v>0.41</v>
      </c>
      <c r="E55" t="s">
        <v>38</v>
      </c>
      <c r="F55" t="s">
        <v>38</v>
      </c>
    </row>
    <row r="56" spans="1:6" x14ac:dyDescent="0.35">
      <c r="A56" t="s">
        <v>75</v>
      </c>
      <c r="B56" s="2">
        <v>499</v>
      </c>
      <c r="C56" s="2">
        <v>900</v>
      </c>
      <c r="D56" s="1">
        <v>0.45</v>
      </c>
      <c r="E56" t="s">
        <v>38</v>
      </c>
      <c r="F56" t="s">
        <v>38</v>
      </c>
    </row>
    <row r="57" spans="1:6" x14ac:dyDescent="0.35">
      <c r="A57" t="s">
        <v>76</v>
      </c>
      <c r="B57" s="2">
        <v>699</v>
      </c>
      <c r="C57" s="2">
        <v>1343</v>
      </c>
      <c r="D57" s="1">
        <v>0.48</v>
      </c>
      <c r="E57" t="s">
        <v>38</v>
      </c>
      <c r="F57" t="s">
        <v>38</v>
      </c>
    </row>
    <row r="58" spans="1:6" x14ac:dyDescent="0.35">
      <c r="A58" t="s">
        <v>77</v>
      </c>
      <c r="B58" s="2">
        <v>799</v>
      </c>
      <c r="C58" s="2">
        <v>1567</v>
      </c>
      <c r="D58" s="1">
        <v>0.49</v>
      </c>
      <c r="E58" t="s">
        <v>38</v>
      </c>
      <c r="F58" t="s">
        <v>38</v>
      </c>
    </row>
    <row r="59" spans="1:6" x14ac:dyDescent="0.35">
      <c r="A59" t="s">
        <v>78</v>
      </c>
      <c r="B59" s="2">
        <v>2799</v>
      </c>
      <c r="C59" s="2">
        <v>3810</v>
      </c>
      <c r="D59" s="1">
        <v>0.27</v>
      </c>
      <c r="E59" t="s">
        <v>38</v>
      </c>
      <c r="F59" t="s">
        <v>38</v>
      </c>
    </row>
    <row r="60" spans="1:6" x14ac:dyDescent="0.35">
      <c r="A60" t="s">
        <v>75</v>
      </c>
      <c r="B60" s="2">
        <v>399</v>
      </c>
      <c r="C60" s="2">
        <v>896</v>
      </c>
      <c r="D60" s="1">
        <v>0.55000000000000004</v>
      </c>
      <c r="E60" t="s">
        <v>38</v>
      </c>
      <c r="F60" t="s">
        <v>38</v>
      </c>
    </row>
    <row r="61" spans="1:6" x14ac:dyDescent="0.35">
      <c r="A61" t="s">
        <v>79</v>
      </c>
      <c r="B61" s="2">
        <v>2170</v>
      </c>
      <c r="C61" s="2">
        <v>2500</v>
      </c>
      <c r="D61" s="1">
        <v>0.13</v>
      </c>
      <c r="E61">
        <v>6</v>
      </c>
      <c r="F61">
        <v>2.5</v>
      </c>
    </row>
    <row r="62" spans="1:6" x14ac:dyDescent="0.35">
      <c r="A62" t="s">
        <v>81</v>
      </c>
      <c r="B62" s="2">
        <v>458</v>
      </c>
      <c r="C62" s="2">
        <v>986</v>
      </c>
      <c r="D62" s="1">
        <v>0.54</v>
      </c>
      <c r="E62">
        <v>10</v>
      </c>
      <c r="F62">
        <v>3</v>
      </c>
    </row>
    <row r="63" spans="1:6" x14ac:dyDescent="0.35">
      <c r="A63" t="s">
        <v>83</v>
      </c>
      <c r="B63" s="2">
        <v>2115</v>
      </c>
      <c r="C63" s="2">
        <v>4700</v>
      </c>
      <c r="D63" s="1">
        <v>0.55000000000000004</v>
      </c>
      <c r="E63">
        <v>13</v>
      </c>
      <c r="F63">
        <v>2.1</v>
      </c>
    </row>
    <row r="64" spans="1:6" x14ac:dyDescent="0.35">
      <c r="A64" t="s">
        <v>85</v>
      </c>
      <c r="B64" s="2">
        <v>445</v>
      </c>
      <c r="C64" s="2">
        <v>873</v>
      </c>
      <c r="D64" s="1">
        <v>0.49</v>
      </c>
      <c r="E64">
        <v>69</v>
      </c>
      <c r="F64">
        <v>2.8</v>
      </c>
    </row>
    <row r="65" spans="1:6" x14ac:dyDescent="0.35">
      <c r="A65" t="s">
        <v>87</v>
      </c>
      <c r="B65" s="2">
        <v>325</v>
      </c>
      <c r="C65" s="2">
        <v>680</v>
      </c>
      <c r="D65" s="1">
        <v>0.52</v>
      </c>
      <c r="E65">
        <v>15</v>
      </c>
      <c r="F65">
        <v>2.7</v>
      </c>
    </row>
    <row r="66" spans="1:6" x14ac:dyDescent="0.35">
      <c r="A66" t="s">
        <v>89</v>
      </c>
      <c r="B66" s="2">
        <v>1220</v>
      </c>
      <c r="C66" s="2">
        <v>1555</v>
      </c>
      <c r="D66" s="1">
        <v>0.22</v>
      </c>
      <c r="E66">
        <v>16</v>
      </c>
      <c r="F66">
        <v>2.9</v>
      </c>
    </row>
    <row r="67" spans="1:6" x14ac:dyDescent="0.35">
      <c r="A67" t="s">
        <v>91</v>
      </c>
      <c r="B67" s="2">
        <v>990</v>
      </c>
      <c r="C67" s="2">
        <v>1814</v>
      </c>
      <c r="D67" s="1">
        <v>0.45</v>
      </c>
      <c r="E67">
        <v>6</v>
      </c>
      <c r="F67">
        <v>2.2000000000000002</v>
      </c>
    </row>
    <row r="68" spans="1:6" x14ac:dyDescent="0.35">
      <c r="A68" t="s">
        <v>93</v>
      </c>
      <c r="B68" s="2">
        <v>1000</v>
      </c>
      <c r="C68" s="2">
        <v>2000</v>
      </c>
      <c r="D68" s="1">
        <v>0.5</v>
      </c>
      <c r="E68">
        <v>7</v>
      </c>
      <c r="F68">
        <v>2.2999999999999998</v>
      </c>
    </row>
    <row r="69" spans="1:6" x14ac:dyDescent="0.35">
      <c r="A69" t="s">
        <v>95</v>
      </c>
      <c r="B69" s="2">
        <v>3750</v>
      </c>
      <c r="C69" s="2">
        <v>6143</v>
      </c>
      <c r="D69" s="1">
        <v>0.39</v>
      </c>
      <c r="E69">
        <v>5</v>
      </c>
      <c r="F69">
        <v>3</v>
      </c>
    </row>
    <row r="70" spans="1:6" x14ac:dyDescent="0.35">
      <c r="A70" t="s">
        <v>96</v>
      </c>
      <c r="B70" s="2">
        <v>382</v>
      </c>
      <c r="C70" s="2">
        <v>700</v>
      </c>
      <c r="D70" s="1">
        <v>0.45</v>
      </c>
      <c r="E70">
        <v>17</v>
      </c>
      <c r="F70">
        <v>2.6</v>
      </c>
    </row>
    <row r="71" spans="1:6" x14ac:dyDescent="0.35">
      <c r="A71" t="s">
        <v>98</v>
      </c>
      <c r="B71" s="2">
        <v>2300</v>
      </c>
      <c r="C71" s="2">
        <v>3240</v>
      </c>
      <c r="D71" s="1">
        <v>0.28999999999999998</v>
      </c>
      <c r="E71">
        <v>5</v>
      </c>
      <c r="F71">
        <v>3</v>
      </c>
    </row>
    <row r="72" spans="1:6" x14ac:dyDescent="0.35">
      <c r="A72" t="s">
        <v>99</v>
      </c>
      <c r="B72" s="2">
        <v>345</v>
      </c>
      <c r="C72" s="2">
        <v>602</v>
      </c>
      <c r="D72" s="1">
        <v>0.43</v>
      </c>
      <c r="E72">
        <v>6</v>
      </c>
      <c r="F72">
        <v>2.2999999999999998</v>
      </c>
    </row>
    <row r="73" spans="1:6" x14ac:dyDescent="0.35">
      <c r="A73" t="s">
        <v>100</v>
      </c>
      <c r="B73" s="2">
        <v>509</v>
      </c>
      <c r="C73" s="2">
        <v>899</v>
      </c>
      <c r="D73" s="1">
        <v>0.43</v>
      </c>
      <c r="E73">
        <v>5</v>
      </c>
      <c r="F73">
        <v>3</v>
      </c>
    </row>
    <row r="74" spans="1:6" x14ac:dyDescent="0.35">
      <c r="A74" t="s">
        <v>101</v>
      </c>
      <c r="B74" s="2">
        <v>968</v>
      </c>
      <c r="C74" s="2">
        <v>1814</v>
      </c>
      <c r="D74" s="1">
        <v>0.47</v>
      </c>
      <c r="E74">
        <v>6</v>
      </c>
      <c r="F74">
        <v>2.2000000000000002</v>
      </c>
    </row>
    <row r="75" spans="1:6" x14ac:dyDescent="0.35">
      <c r="A75" t="s">
        <v>102</v>
      </c>
      <c r="B75" s="2">
        <v>1570</v>
      </c>
      <c r="C75" s="2">
        <v>2988</v>
      </c>
      <c r="D75" s="1">
        <v>0.47</v>
      </c>
      <c r="E75">
        <v>7</v>
      </c>
      <c r="F75">
        <v>2.1</v>
      </c>
    </row>
    <row r="76" spans="1:6" x14ac:dyDescent="0.35">
      <c r="A76" t="s">
        <v>103</v>
      </c>
      <c r="B76" s="2">
        <v>790</v>
      </c>
      <c r="C76" s="2">
        <v>1485</v>
      </c>
      <c r="D76" s="1">
        <v>0.47</v>
      </c>
      <c r="E76" t="s">
        <v>38</v>
      </c>
      <c r="F76" t="s">
        <v>38</v>
      </c>
    </row>
    <row r="77" spans="1:6" x14ac:dyDescent="0.35">
      <c r="A77" t="s">
        <v>104</v>
      </c>
      <c r="B77" s="2">
        <v>690</v>
      </c>
      <c r="C77" s="2">
        <v>1200</v>
      </c>
      <c r="D77" s="1">
        <v>0.43</v>
      </c>
      <c r="E77" t="s">
        <v>38</v>
      </c>
      <c r="F77" t="s">
        <v>38</v>
      </c>
    </row>
    <row r="78" spans="1:6" x14ac:dyDescent="0.35">
      <c r="A78" t="s">
        <v>105</v>
      </c>
      <c r="B78" s="2">
        <v>1732</v>
      </c>
      <c r="C78" s="2">
        <v>1799</v>
      </c>
      <c r="D78" s="1">
        <v>0.04</v>
      </c>
      <c r="E78" t="s">
        <v>38</v>
      </c>
      <c r="F78" t="s">
        <v>38</v>
      </c>
    </row>
    <row r="79" spans="1:6" x14ac:dyDescent="0.35">
      <c r="A79" t="s">
        <v>106</v>
      </c>
      <c r="B79" s="2">
        <v>230</v>
      </c>
      <c r="C79" s="2">
        <v>450</v>
      </c>
      <c r="D79" s="1">
        <v>0.49</v>
      </c>
      <c r="E79" t="s">
        <v>38</v>
      </c>
      <c r="F79" t="s">
        <v>38</v>
      </c>
    </row>
    <row r="80" spans="1:6" x14ac:dyDescent="0.35">
      <c r="A80" t="s">
        <v>107</v>
      </c>
      <c r="B80" s="2">
        <v>1189</v>
      </c>
      <c r="C80" s="2">
        <v>2199</v>
      </c>
      <c r="D80" s="1">
        <v>0.46</v>
      </c>
      <c r="E80">
        <v>1</v>
      </c>
      <c r="F80">
        <v>3</v>
      </c>
    </row>
    <row r="81" spans="1:6" x14ac:dyDescent="0.35">
      <c r="A81" t="s">
        <v>108</v>
      </c>
      <c r="B81" s="2">
        <v>979</v>
      </c>
      <c r="C81" s="2">
        <v>1920</v>
      </c>
      <c r="D81" s="1">
        <v>0.49</v>
      </c>
      <c r="E81">
        <v>1</v>
      </c>
      <c r="F81">
        <v>5</v>
      </c>
    </row>
    <row r="82" spans="1:6" x14ac:dyDescent="0.35">
      <c r="A82" t="s">
        <v>109</v>
      </c>
      <c r="B82" s="2">
        <v>1460</v>
      </c>
      <c r="C82" s="2">
        <v>2290</v>
      </c>
      <c r="D82" s="1">
        <v>0.36</v>
      </c>
      <c r="E82" t="s">
        <v>38</v>
      </c>
      <c r="F82" t="s">
        <v>38</v>
      </c>
    </row>
    <row r="83" spans="1:6" x14ac:dyDescent="0.35">
      <c r="A83" t="s">
        <v>110</v>
      </c>
      <c r="B83" s="2">
        <v>1666</v>
      </c>
      <c r="C83" s="2">
        <v>1699</v>
      </c>
      <c r="D83" s="1">
        <v>0.02</v>
      </c>
      <c r="E83" t="s">
        <v>38</v>
      </c>
      <c r="F83" t="s">
        <v>38</v>
      </c>
    </row>
    <row r="84" spans="1:6" x14ac:dyDescent="0.35">
      <c r="A84" t="s">
        <v>111</v>
      </c>
      <c r="B84" s="2">
        <v>330</v>
      </c>
      <c r="C84" s="2">
        <v>647</v>
      </c>
      <c r="D84" s="1">
        <v>0.49</v>
      </c>
      <c r="E84">
        <v>1</v>
      </c>
      <c r="F84">
        <v>4</v>
      </c>
    </row>
    <row r="85" spans="1:6" x14ac:dyDescent="0.35">
      <c r="A85" t="s">
        <v>69</v>
      </c>
      <c r="B85" s="2">
        <v>176</v>
      </c>
      <c r="C85" s="2">
        <v>345</v>
      </c>
      <c r="D85" s="1">
        <v>0.49</v>
      </c>
      <c r="E85" t="s">
        <v>38</v>
      </c>
      <c r="F85" t="s">
        <v>38</v>
      </c>
    </row>
    <row r="86" spans="1:6" x14ac:dyDescent="0.35">
      <c r="A86" t="s">
        <v>112</v>
      </c>
      <c r="B86" s="2">
        <v>1466</v>
      </c>
      <c r="C86" s="2">
        <v>1699</v>
      </c>
      <c r="D86" s="1">
        <v>0.14000000000000001</v>
      </c>
      <c r="E86" t="s">
        <v>38</v>
      </c>
      <c r="F86" t="s">
        <v>38</v>
      </c>
    </row>
    <row r="87" spans="1:6" x14ac:dyDescent="0.35">
      <c r="A87" t="s">
        <v>113</v>
      </c>
      <c r="B87" s="2">
        <v>274</v>
      </c>
      <c r="C87" s="2">
        <v>537</v>
      </c>
      <c r="D87" s="1">
        <v>0.49</v>
      </c>
      <c r="E87" t="s">
        <v>38</v>
      </c>
      <c r="F87" t="s">
        <v>38</v>
      </c>
    </row>
    <row r="88" spans="1:6" x14ac:dyDescent="0.35">
      <c r="A88" t="s">
        <v>114</v>
      </c>
      <c r="B88" s="2">
        <v>799</v>
      </c>
      <c r="C88" s="2">
        <v>900</v>
      </c>
      <c r="D88" s="1">
        <v>0.11</v>
      </c>
      <c r="E88" t="s">
        <v>38</v>
      </c>
      <c r="F88" t="s">
        <v>38</v>
      </c>
    </row>
    <row r="89" spans="1:6" x14ac:dyDescent="0.35">
      <c r="A89" t="s">
        <v>77</v>
      </c>
      <c r="B89" s="2">
        <v>657</v>
      </c>
      <c r="C89" s="2">
        <v>1288</v>
      </c>
      <c r="D89" s="1">
        <v>0.49</v>
      </c>
      <c r="E89" t="s">
        <v>38</v>
      </c>
      <c r="F89" t="s">
        <v>38</v>
      </c>
    </row>
    <row r="90" spans="1:6" x14ac:dyDescent="0.35">
      <c r="A90" t="s">
        <v>115</v>
      </c>
      <c r="B90" s="2">
        <v>1468</v>
      </c>
      <c r="C90" s="2">
        <v>1699</v>
      </c>
      <c r="D90" s="1">
        <v>0.14000000000000001</v>
      </c>
      <c r="E90" t="s">
        <v>38</v>
      </c>
      <c r="F90" t="s">
        <v>38</v>
      </c>
    </row>
    <row r="91" spans="1:6" x14ac:dyDescent="0.35">
      <c r="A91" t="s">
        <v>116</v>
      </c>
      <c r="B91" s="2">
        <v>630</v>
      </c>
      <c r="C91" s="2">
        <v>1100</v>
      </c>
      <c r="D91" s="1">
        <v>0.43</v>
      </c>
      <c r="E91" t="s">
        <v>38</v>
      </c>
      <c r="F91" t="s">
        <v>38</v>
      </c>
    </row>
    <row r="92" spans="1:6" x14ac:dyDescent="0.35">
      <c r="A92" t="s">
        <v>117</v>
      </c>
      <c r="B92" s="2">
        <v>850</v>
      </c>
      <c r="C92" s="2">
        <v>1700</v>
      </c>
      <c r="D92" s="1">
        <v>0.5</v>
      </c>
      <c r="E92" t="s">
        <v>38</v>
      </c>
      <c r="F92" t="s">
        <v>38</v>
      </c>
    </row>
    <row r="93" spans="1:6" x14ac:dyDescent="0.35">
      <c r="A93" t="s">
        <v>118</v>
      </c>
      <c r="B93" s="2">
        <v>1300</v>
      </c>
      <c r="C93" s="2">
        <v>2500</v>
      </c>
      <c r="D93" s="1">
        <v>0.48</v>
      </c>
      <c r="E93" t="s">
        <v>38</v>
      </c>
      <c r="F93" t="s">
        <v>38</v>
      </c>
    </row>
    <row r="94" spans="1:6" x14ac:dyDescent="0.35">
      <c r="A94" t="s">
        <v>119</v>
      </c>
      <c r="B94" s="2">
        <v>105</v>
      </c>
      <c r="C94" s="2">
        <v>200</v>
      </c>
      <c r="D94" s="1">
        <v>0.48</v>
      </c>
      <c r="E94" t="s">
        <v>38</v>
      </c>
      <c r="F94" t="s">
        <v>38</v>
      </c>
    </row>
    <row r="95" spans="1:6" x14ac:dyDescent="0.35">
      <c r="A95" t="s">
        <v>120</v>
      </c>
      <c r="B95" s="2">
        <v>899</v>
      </c>
      <c r="C95" s="2">
        <v>1699</v>
      </c>
      <c r="D95" s="1">
        <v>0.47</v>
      </c>
      <c r="E95" t="s">
        <v>38</v>
      </c>
      <c r="F95" t="s">
        <v>38</v>
      </c>
    </row>
    <row r="96" spans="1:6" x14ac:dyDescent="0.35">
      <c r="A96" t="s">
        <v>121</v>
      </c>
      <c r="B96" s="2">
        <v>1200</v>
      </c>
      <c r="C96" s="2">
        <v>2400</v>
      </c>
      <c r="D96" s="1">
        <v>0.5</v>
      </c>
      <c r="E96" t="s">
        <v>38</v>
      </c>
      <c r="F96" t="s">
        <v>38</v>
      </c>
    </row>
    <row r="97" spans="1:6" x14ac:dyDescent="0.35">
      <c r="A97" t="s">
        <v>122</v>
      </c>
      <c r="B97" s="2">
        <v>1526</v>
      </c>
      <c r="C97" s="2">
        <v>1660</v>
      </c>
      <c r="D97" s="1">
        <v>0.08</v>
      </c>
      <c r="E97" t="s">
        <v>38</v>
      </c>
      <c r="F97" t="s">
        <v>38</v>
      </c>
    </row>
    <row r="98" spans="1:6" x14ac:dyDescent="0.35">
      <c r="A98" t="s">
        <v>123</v>
      </c>
      <c r="B98" s="2">
        <v>1462</v>
      </c>
      <c r="C98" s="2">
        <v>1499</v>
      </c>
      <c r="D98" s="1">
        <v>0.02</v>
      </c>
      <c r="E98" t="s">
        <v>38</v>
      </c>
      <c r="F98" t="s">
        <v>38</v>
      </c>
    </row>
    <row r="99" spans="1:6" x14ac:dyDescent="0.35">
      <c r="A99" t="s">
        <v>124</v>
      </c>
      <c r="B99" s="2">
        <v>248</v>
      </c>
      <c r="C99" s="2">
        <v>486</v>
      </c>
      <c r="D99" s="1">
        <v>0.49</v>
      </c>
      <c r="E99" t="s">
        <v>38</v>
      </c>
      <c r="F99" t="s">
        <v>38</v>
      </c>
    </row>
    <row r="100" spans="1:6" x14ac:dyDescent="0.35">
      <c r="A100" t="s">
        <v>125</v>
      </c>
      <c r="B100" s="2">
        <v>3546</v>
      </c>
      <c r="C100" s="2">
        <v>3699</v>
      </c>
      <c r="D100" s="1">
        <v>0.04</v>
      </c>
      <c r="E100" t="s">
        <v>38</v>
      </c>
      <c r="F100" t="s">
        <v>38</v>
      </c>
    </row>
    <row r="101" spans="1:6" x14ac:dyDescent="0.35">
      <c r="A101" t="s">
        <v>126</v>
      </c>
      <c r="B101" s="2">
        <v>525</v>
      </c>
      <c r="C101" s="2">
        <v>1029</v>
      </c>
      <c r="D101" s="1">
        <v>0.49</v>
      </c>
      <c r="E101" t="s">
        <v>38</v>
      </c>
      <c r="F101" t="s">
        <v>38</v>
      </c>
    </row>
    <row r="102" spans="1:6" x14ac:dyDescent="0.35">
      <c r="A102" t="s">
        <v>127</v>
      </c>
      <c r="B102" s="2">
        <v>1080</v>
      </c>
      <c r="C102" s="2">
        <v>1874</v>
      </c>
      <c r="D102" s="1">
        <v>0.42</v>
      </c>
      <c r="E102" t="s">
        <v>38</v>
      </c>
      <c r="F102" t="s">
        <v>38</v>
      </c>
    </row>
    <row r="103" spans="1:6" x14ac:dyDescent="0.35">
      <c r="A103" t="s">
        <v>128</v>
      </c>
      <c r="B103" s="2">
        <v>3640</v>
      </c>
      <c r="C103" s="2">
        <v>4588</v>
      </c>
      <c r="D103" s="1">
        <v>0.21</v>
      </c>
      <c r="E103">
        <v>1</v>
      </c>
      <c r="F103">
        <v>5</v>
      </c>
    </row>
    <row r="104" spans="1:6" x14ac:dyDescent="0.35">
      <c r="A104" t="s">
        <v>129</v>
      </c>
      <c r="B104" s="2">
        <v>1420</v>
      </c>
      <c r="C104" s="2">
        <v>2420</v>
      </c>
      <c r="D104" s="1">
        <v>0.41</v>
      </c>
      <c r="E104" t="s">
        <v>38</v>
      </c>
      <c r="F104" t="s">
        <v>38</v>
      </c>
    </row>
    <row r="105" spans="1:6" x14ac:dyDescent="0.35">
      <c r="A105" t="s">
        <v>130</v>
      </c>
      <c r="B105" s="2">
        <v>1875</v>
      </c>
      <c r="C105" s="2">
        <v>1899</v>
      </c>
      <c r="D105" s="1">
        <v>0.01</v>
      </c>
      <c r="E105" t="s">
        <v>38</v>
      </c>
      <c r="F105" t="s">
        <v>38</v>
      </c>
    </row>
    <row r="106" spans="1:6" x14ac:dyDescent="0.35">
      <c r="A106" t="s">
        <v>131</v>
      </c>
      <c r="B106" s="2">
        <v>198</v>
      </c>
      <c r="C106" s="2">
        <v>260</v>
      </c>
      <c r="D106" s="1">
        <v>0.24</v>
      </c>
      <c r="E106" t="s">
        <v>38</v>
      </c>
      <c r="F106" t="s">
        <v>38</v>
      </c>
    </row>
    <row r="107" spans="1:6" x14ac:dyDescent="0.35">
      <c r="A107" t="s">
        <v>132</v>
      </c>
      <c r="B107" s="2">
        <v>1150</v>
      </c>
      <c r="C107" s="2">
        <v>1737</v>
      </c>
      <c r="D107" s="1">
        <v>0.34</v>
      </c>
      <c r="E107" t="s">
        <v>38</v>
      </c>
      <c r="F107" t="s">
        <v>38</v>
      </c>
    </row>
    <row r="108" spans="1:6" x14ac:dyDescent="0.35">
      <c r="A108" t="s">
        <v>133</v>
      </c>
      <c r="B108" s="2">
        <v>1190</v>
      </c>
      <c r="C108" s="2">
        <v>1810</v>
      </c>
      <c r="D108" s="1">
        <v>0.34</v>
      </c>
      <c r="E108" t="s">
        <v>38</v>
      </c>
      <c r="F108" t="s">
        <v>38</v>
      </c>
    </row>
    <row r="109" spans="1:6" x14ac:dyDescent="0.35">
      <c r="A109" t="s">
        <v>134</v>
      </c>
      <c r="B109" s="2">
        <v>1658</v>
      </c>
      <c r="C109" s="2">
        <v>1699</v>
      </c>
      <c r="D109" s="1">
        <v>0.02</v>
      </c>
      <c r="E109" t="s">
        <v>38</v>
      </c>
      <c r="F109" t="s">
        <v>38</v>
      </c>
    </row>
    <row r="110" spans="1:6" x14ac:dyDescent="0.35">
      <c r="A110" t="s">
        <v>135</v>
      </c>
      <c r="B110" s="2">
        <v>1768</v>
      </c>
      <c r="C110" s="2">
        <v>1799</v>
      </c>
      <c r="D110" s="1">
        <v>0.02</v>
      </c>
      <c r="E110" t="s">
        <v>38</v>
      </c>
      <c r="F110" t="s">
        <v>38</v>
      </c>
    </row>
    <row r="111" spans="1:6" x14ac:dyDescent="0.35">
      <c r="A111" t="s">
        <v>136</v>
      </c>
      <c r="B111" s="2">
        <v>199</v>
      </c>
      <c r="C111" s="2">
        <v>553</v>
      </c>
      <c r="D111" s="1">
        <v>0.64</v>
      </c>
      <c r="E111" t="s">
        <v>38</v>
      </c>
      <c r="F111" t="s">
        <v>38</v>
      </c>
    </row>
    <row r="112" spans="1:6" x14ac:dyDescent="0.35">
      <c r="A112" t="s">
        <v>137</v>
      </c>
      <c r="B112" s="2">
        <v>450</v>
      </c>
      <c r="C112" s="2">
        <v>900</v>
      </c>
      <c r="D112" s="1">
        <v>0.5</v>
      </c>
      <c r="E112">
        <v>1</v>
      </c>
      <c r="F112">
        <v>2</v>
      </c>
    </row>
    <row r="113" spans="1:6" x14ac:dyDescent="0.35">
      <c r="A113" t="s">
        <v>139</v>
      </c>
      <c r="B113" s="2">
        <v>169</v>
      </c>
      <c r="C113" s="2">
        <v>320</v>
      </c>
      <c r="D113" s="1">
        <v>0.47</v>
      </c>
      <c r="E113" t="s">
        <v>38</v>
      </c>
      <c r="F113"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09CC5-6030-4ED8-9F0F-B9409BEE18CC}">
  <dimension ref="A1:J113"/>
  <sheetViews>
    <sheetView topLeftCell="B1" workbookViewId="0">
      <selection activeCell="J9" sqref="J9"/>
    </sheetView>
  </sheetViews>
  <sheetFormatPr defaultRowHeight="14.5" x14ac:dyDescent="0.35"/>
  <cols>
    <col min="1" max="1" width="89.1796875" bestFit="1" customWidth="1"/>
    <col min="2" max="3" width="12.1796875" style="2" bestFit="1" customWidth="1"/>
    <col min="4" max="5" width="12.1796875" style="2" customWidth="1"/>
    <col min="6" max="6" width="8.08984375" bestFit="1" customWidth="1"/>
    <col min="7" max="7" width="16" bestFit="1" customWidth="1"/>
    <col min="8" max="8" width="8.81640625" bestFit="1" customWidth="1"/>
    <col min="9" max="9" width="10.26953125" bestFit="1" customWidth="1"/>
    <col min="10" max="10" width="13.90625" bestFit="1" customWidth="1"/>
  </cols>
  <sheetData>
    <row r="1" spans="1:10" x14ac:dyDescent="0.35">
      <c r="A1" t="s">
        <v>0</v>
      </c>
      <c r="B1" s="2" t="s">
        <v>1</v>
      </c>
      <c r="C1" s="2" t="s">
        <v>2</v>
      </c>
      <c r="D1" s="2" t="s">
        <v>140</v>
      </c>
      <c r="E1" s="2" t="s">
        <v>142</v>
      </c>
      <c r="F1" t="s">
        <v>3</v>
      </c>
      <c r="G1" s="2" t="s">
        <v>141</v>
      </c>
      <c r="H1" t="s">
        <v>4</v>
      </c>
      <c r="I1" t="s">
        <v>5</v>
      </c>
      <c r="J1" t="s">
        <v>143</v>
      </c>
    </row>
    <row r="2" spans="1:10" x14ac:dyDescent="0.35">
      <c r="A2" t="s">
        <v>6</v>
      </c>
      <c r="B2" s="2">
        <v>950</v>
      </c>
      <c r="C2" s="2">
        <v>1525</v>
      </c>
      <c r="D2" s="2" t="str">
        <f>IF(B2&gt;3000,"High Price",IF(B2&gt;=2000,"Medium Price","Low Price"))</f>
        <v>Low Price</v>
      </c>
      <c r="E2" s="2">
        <f>C2-B2</f>
        <v>575</v>
      </c>
      <c r="F2" s="1">
        <v>0.38</v>
      </c>
      <c r="G2" s="1" t="str">
        <f>IF(F2&lt;20%,"Low Discount",IF(F2&lt;=40%,"Medium Discount","High Discount"))</f>
        <v>Medium Discount</v>
      </c>
      <c r="H2">
        <v>2</v>
      </c>
      <c r="I2">
        <v>4.5</v>
      </c>
      <c r="J2" t="str">
        <f>IF(I2="Unknown","Unknown",IF(I2&lt;3,"Poor",IF(I2&lt;=4.5,"Average","Excellent")))</f>
        <v>Average</v>
      </c>
    </row>
    <row r="3" spans="1:10" x14ac:dyDescent="0.35">
      <c r="A3" t="s">
        <v>8</v>
      </c>
      <c r="B3" s="2">
        <v>527</v>
      </c>
      <c r="C3" s="2">
        <v>999</v>
      </c>
      <c r="D3" s="2" t="str">
        <f t="shared" ref="D3:D66" si="0">IF(B3&gt;3000,"High Price",IF(B3&gt;=2000,"Medium Price","Low Price"))</f>
        <v>Low Price</v>
      </c>
      <c r="E3" s="2">
        <f t="shared" ref="E3:E66" si="1">C3-B3</f>
        <v>472</v>
      </c>
      <c r="F3" s="1">
        <v>0.47</v>
      </c>
      <c r="G3" s="1" t="str">
        <f t="shared" ref="G3:G66" si="2">IF(F3&lt;20%,"Low Discount",IF(F3&lt;=40%,"Medium Discount","High Discount"))</f>
        <v>High Discount</v>
      </c>
      <c r="H3">
        <v>14</v>
      </c>
      <c r="I3">
        <v>4.0999999999999996</v>
      </c>
      <c r="J3" t="str">
        <f t="shared" ref="J3:J66" si="3">IF(I3="Unknown","Unknown",IF(I3&lt;3,"Poor",IF(I3&lt;=4.5,"Average","Excellent")))</f>
        <v>Average</v>
      </c>
    </row>
    <row r="4" spans="1:10" x14ac:dyDescent="0.35">
      <c r="A4" t="s">
        <v>10</v>
      </c>
      <c r="B4" s="2">
        <v>2199</v>
      </c>
      <c r="C4" s="2">
        <v>2923</v>
      </c>
      <c r="D4" s="2" t="str">
        <f t="shared" si="0"/>
        <v>Medium Price</v>
      </c>
      <c r="E4" s="2">
        <f t="shared" si="1"/>
        <v>724</v>
      </c>
      <c r="F4" s="1">
        <v>0.25</v>
      </c>
      <c r="G4" s="1" t="str">
        <f t="shared" si="2"/>
        <v>Medium Discount</v>
      </c>
      <c r="H4">
        <v>24</v>
      </c>
      <c r="I4">
        <v>4.5999999999999996</v>
      </c>
      <c r="J4" t="str">
        <f t="shared" si="3"/>
        <v>Excellent</v>
      </c>
    </row>
    <row r="5" spans="1:10" x14ac:dyDescent="0.35">
      <c r="A5" t="s">
        <v>12</v>
      </c>
      <c r="B5" s="2">
        <v>1580</v>
      </c>
      <c r="C5" s="2">
        <v>2499</v>
      </c>
      <c r="D5" s="2" t="str">
        <f t="shared" si="0"/>
        <v>Low Price</v>
      </c>
      <c r="E5" s="2">
        <f t="shared" si="1"/>
        <v>919</v>
      </c>
      <c r="F5" s="1">
        <v>0.37</v>
      </c>
      <c r="G5" s="1" t="str">
        <f t="shared" si="2"/>
        <v>Medium Discount</v>
      </c>
      <c r="H5">
        <v>7</v>
      </c>
      <c r="I5">
        <v>4.7</v>
      </c>
      <c r="J5" t="str">
        <f t="shared" si="3"/>
        <v>Excellent</v>
      </c>
    </row>
    <row r="6" spans="1:10" x14ac:dyDescent="0.35">
      <c r="A6" t="s">
        <v>14</v>
      </c>
      <c r="B6" s="2">
        <v>1740</v>
      </c>
      <c r="C6" s="2">
        <v>2356</v>
      </c>
      <c r="D6" s="2" t="str">
        <f t="shared" si="0"/>
        <v>Low Price</v>
      </c>
      <c r="E6" s="2">
        <f t="shared" si="1"/>
        <v>616</v>
      </c>
      <c r="F6" s="1">
        <v>0.26</v>
      </c>
      <c r="G6" s="1" t="str">
        <f t="shared" si="2"/>
        <v>Medium Discount</v>
      </c>
      <c r="H6">
        <v>5</v>
      </c>
      <c r="I6">
        <v>4.8</v>
      </c>
      <c r="J6" t="str">
        <f t="shared" si="3"/>
        <v>Excellent</v>
      </c>
    </row>
    <row r="7" spans="1:10" x14ac:dyDescent="0.35">
      <c r="A7" t="s">
        <v>16</v>
      </c>
      <c r="B7" s="2">
        <v>2999</v>
      </c>
      <c r="C7" s="2">
        <v>3290</v>
      </c>
      <c r="D7" s="2" t="str">
        <f t="shared" si="0"/>
        <v>Medium Price</v>
      </c>
      <c r="E7" s="2">
        <f t="shared" si="1"/>
        <v>291</v>
      </c>
      <c r="F7" s="1">
        <v>0.09</v>
      </c>
      <c r="G7" s="1" t="str">
        <f t="shared" si="2"/>
        <v>Low Discount</v>
      </c>
      <c r="H7">
        <v>15</v>
      </c>
      <c r="I7">
        <v>4</v>
      </c>
      <c r="J7" t="str">
        <f t="shared" si="3"/>
        <v>Average</v>
      </c>
    </row>
    <row r="8" spans="1:10" x14ac:dyDescent="0.35">
      <c r="A8" t="s">
        <v>18</v>
      </c>
      <c r="B8" s="2">
        <v>2319</v>
      </c>
      <c r="C8" s="2">
        <v>3032</v>
      </c>
      <c r="D8" s="2" t="str">
        <f t="shared" si="0"/>
        <v>Medium Price</v>
      </c>
      <c r="E8" s="2">
        <f t="shared" si="1"/>
        <v>713</v>
      </c>
      <c r="F8" s="1">
        <v>0.24</v>
      </c>
      <c r="G8" s="1" t="str">
        <f t="shared" si="2"/>
        <v>Medium Discount</v>
      </c>
      <c r="H8">
        <v>55</v>
      </c>
      <c r="I8">
        <v>4.5999999999999996</v>
      </c>
      <c r="J8" t="str">
        <f t="shared" si="3"/>
        <v>Excellent</v>
      </c>
    </row>
    <row r="9" spans="1:10" x14ac:dyDescent="0.35">
      <c r="A9" t="s">
        <v>19</v>
      </c>
      <c r="B9" s="2">
        <v>988</v>
      </c>
      <c r="C9" s="2">
        <v>1580</v>
      </c>
      <c r="D9" s="2" t="str">
        <f t="shared" si="0"/>
        <v>Low Price</v>
      </c>
      <c r="E9" s="2">
        <f t="shared" si="1"/>
        <v>592</v>
      </c>
      <c r="F9" s="1">
        <v>0.37</v>
      </c>
      <c r="G9" s="1" t="str">
        <f t="shared" si="2"/>
        <v>Medium Discount</v>
      </c>
      <c r="H9">
        <v>2</v>
      </c>
      <c r="I9">
        <v>4</v>
      </c>
      <c r="J9" t="str">
        <f t="shared" si="3"/>
        <v>Average</v>
      </c>
    </row>
    <row r="10" spans="1:10" x14ac:dyDescent="0.35">
      <c r="A10" t="s">
        <v>20</v>
      </c>
      <c r="B10" s="2">
        <v>1274</v>
      </c>
      <c r="C10" s="2">
        <v>2800</v>
      </c>
      <c r="D10" s="2" t="str">
        <f t="shared" si="0"/>
        <v>Low Price</v>
      </c>
      <c r="E10" s="2">
        <f t="shared" si="1"/>
        <v>1526</v>
      </c>
      <c r="F10" s="1">
        <v>0.55000000000000004</v>
      </c>
      <c r="G10" s="1" t="str">
        <f t="shared" si="2"/>
        <v>High Discount</v>
      </c>
      <c r="H10">
        <v>5</v>
      </c>
      <c r="I10">
        <v>4.8</v>
      </c>
      <c r="J10" t="str">
        <f t="shared" si="3"/>
        <v>Excellent</v>
      </c>
    </row>
    <row r="11" spans="1:10" x14ac:dyDescent="0.35">
      <c r="A11" t="s">
        <v>21</v>
      </c>
      <c r="B11" s="2">
        <v>1600</v>
      </c>
      <c r="C11" s="2">
        <v>2929</v>
      </c>
      <c r="D11" s="2" t="str">
        <f t="shared" si="0"/>
        <v>Low Price</v>
      </c>
      <c r="E11" s="2">
        <f t="shared" si="1"/>
        <v>1329</v>
      </c>
      <c r="F11" s="1">
        <v>0.45</v>
      </c>
      <c r="G11" s="1" t="str">
        <f t="shared" si="2"/>
        <v>High Discount</v>
      </c>
      <c r="H11">
        <v>5</v>
      </c>
      <c r="I11">
        <v>3.8</v>
      </c>
      <c r="J11" t="str">
        <f t="shared" si="3"/>
        <v>Average</v>
      </c>
    </row>
    <row r="12" spans="1:10" x14ac:dyDescent="0.35">
      <c r="A12" t="s">
        <v>23</v>
      </c>
      <c r="B12" s="2">
        <v>799</v>
      </c>
      <c r="C12" s="2">
        <v>999</v>
      </c>
      <c r="D12" s="2" t="str">
        <f t="shared" si="0"/>
        <v>Low Price</v>
      </c>
      <c r="E12" s="2">
        <f t="shared" si="1"/>
        <v>200</v>
      </c>
      <c r="F12" s="1">
        <v>0.2</v>
      </c>
      <c r="G12" s="1" t="str">
        <f t="shared" si="2"/>
        <v>Medium Discount</v>
      </c>
      <c r="H12">
        <v>12</v>
      </c>
      <c r="I12">
        <v>4.0999999999999996</v>
      </c>
      <c r="J12" t="str">
        <f t="shared" si="3"/>
        <v>Average</v>
      </c>
    </row>
    <row r="13" spans="1:10" x14ac:dyDescent="0.35">
      <c r="A13" t="s">
        <v>24</v>
      </c>
      <c r="B13" s="2">
        <v>990</v>
      </c>
      <c r="C13" s="2">
        <v>1500</v>
      </c>
      <c r="D13" s="2" t="str">
        <f t="shared" si="0"/>
        <v>Low Price</v>
      </c>
      <c r="E13" s="2">
        <f t="shared" si="1"/>
        <v>510</v>
      </c>
      <c r="F13" s="1">
        <v>0.34</v>
      </c>
      <c r="G13" s="1" t="str">
        <f t="shared" si="2"/>
        <v>Medium Discount</v>
      </c>
      <c r="H13">
        <v>39</v>
      </c>
      <c r="I13">
        <v>4.7</v>
      </c>
      <c r="J13" t="str">
        <f t="shared" si="3"/>
        <v>Excellent</v>
      </c>
    </row>
    <row r="14" spans="1:10" x14ac:dyDescent="0.35">
      <c r="A14" t="s">
        <v>25</v>
      </c>
      <c r="B14" s="2">
        <v>552</v>
      </c>
      <c r="C14" s="2">
        <v>1035</v>
      </c>
      <c r="D14" s="2" t="str">
        <f t="shared" si="0"/>
        <v>Low Price</v>
      </c>
      <c r="E14" s="2">
        <f t="shared" si="1"/>
        <v>483</v>
      </c>
      <c r="F14" s="1">
        <v>0.47</v>
      </c>
      <c r="G14" s="1" t="str">
        <f t="shared" si="2"/>
        <v>High Discount</v>
      </c>
      <c r="H14">
        <v>12</v>
      </c>
      <c r="I14">
        <v>4.8</v>
      </c>
      <c r="J14" t="str">
        <f t="shared" si="3"/>
        <v>Excellent</v>
      </c>
    </row>
    <row r="15" spans="1:10" x14ac:dyDescent="0.35">
      <c r="A15" t="s">
        <v>26</v>
      </c>
      <c r="B15" s="2">
        <v>501</v>
      </c>
      <c r="C15" s="2">
        <v>860</v>
      </c>
      <c r="D15" s="2" t="str">
        <f t="shared" si="0"/>
        <v>Low Price</v>
      </c>
      <c r="E15" s="2">
        <f t="shared" si="1"/>
        <v>359</v>
      </c>
      <c r="F15" s="1">
        <v>0.42</v>
      </c>
      <c r="G15" s="1" t="str">
        <f t="shared" si="2"/>
        <v>High Discount</v>
      </c>
      <c r="H15">
        <v>6</v>
      </c>
      <c r="I15">
        <v>4.5</v>
      </c>
      <c r="J15" t="str">
        <f t="shared" si="3"/>
        <v>Average</v>
      </c>
    </row>
    <row r="16" spans="1:10" x14ac:dyDescent="0.35">
      <c r="A16" t="s">
        <v>27</v>
      </c>
      <c r="B16" s="2">
        <v>1680</v>
      </c>
      <c r="C16" s="2">
        <v>2499</v>
      </c>
      <c r="D16" s="2" t="str">
        <f t="shared" si="0"/>
        <v>Low Price</v>
      </c>
      <c r="E16" s="2">
        <f t="shared" si="1"/>
        <v>819</v>
      </c>
      <c r="F16" s="1">
        <v>0.33</v>
      </c>
      <c r="G16" s="1" t="str">
        <f t="shared" si="2"/>
        <v>Medium Discount</v>
      </c>
      <c r="H16">
        <v>9</v>
      </c>
      <c r="I16">
        <v>4.2</v>
      </c>
      <c r="J16" t="str">
        <f t="shared" si="3"/>
        <v>Average</v>
      </c>
    </row>
    <row r="17" spans="1:10" x14ac:dyDescent="0.35">
      <c r="A17" t="s">
        <v>29</v>
      </c>
      <c r="B17" s="2">
        <v>332</v>
      </c>
      <c r="C17" s="2">
        <v>684</v>
      </c>
      <c r="D17" s="2" t="str">
        <f t="shared" si="0"/>
        <v>Low Price</v>
      </c>
      <c r="E17" s="2">
        <f t="shared" si="1"/>
        <v>352</v>
      </c>
      <c r="F17" s="1">
        <v>0.51</v>
      </c>
      <c r="G17" s="1" t="str">
        <f t="shared" si="2"/>
        <v>High Discount</v>
      </c>
      <c r="H17">
        <v>2</v>
      </c>
      <c r="I17">
        <v>5</v>
      </c>
      <c r="J17" t="str">
        <f t="shared" si="3"/>
        <v>Excellent</v>
      </c>
    </row>
    <row r="18" spans="1:10" x14ac:dyDescent="0.35">
      <c r="A18" t="s">
        <v>31</v>
      </c>
      <c r="B18" s="2">
        <v>195</v>
      </c>
      <c r="C18" s="2">
        <v>360</v>
      </c>
      <c r="D18" s="2" t="str">
        <f t="shared" si="0"/>
        <v>Low Price</v>
      </c>
      <c r="E18" s="2">
        <f t="shared" si="1"/>
        <v>165</v>
      </c>
      <c r="F18" s="1">
        <v>0.46</v>
      </c>
      <c r="G18" s="1" t="str">
        <f t="shared" si="2"/>
        <v>High Discount</v>
      </c>
      <c r="H18">
        <v>2</v>
      </c>
      <c r="I18">
        <v>5</v>
      </c>
      <c r="J18" t="str">
        <f t="shared" si="3"/>
        <v>Excellent</v>
      </c>
    </row>
    <row r="19" spans="1:10" x14ac:dyDescent="0.35">
      <c r="A19" t="s">
        <v>32</v>
      </c>
      <c r="B19" s="2">
        <v>2025</v>
      </c>
      <c r="C19" s="2">
        <v>3971</v>
      </c>
      <c r="D19" s="2" t="str">
        <f t="shared" si="0"/>
        <v>Medium Price</v>
      </c>
      <c r="E19" s="2">
        <f t="shared" si="1"/>
        <v>1946</v>
      </c>
      <c r="F19" s="1">
        <v>0.49</v>
      </c>
      <c r="G19" s="1" t="str">
        <f t="shared" si="2"/>
        <v>High Discount</v>
      </c>
      <c r="H19">
        <v>3</v>
      </c>
      <c r="I19">
        <v>5</v>
      </c>
      <c r="J19" t="str">
        <f t="shared" si="3"/>
        <v>Excellent</v>
      </c>
    </row>
    <row r="20" spans="1:10" x14ac:dyDescent="0.35">
      <c r="A20" t="s">
        <v>33</v>
      </c>
      <c r="B20" s="2">
        <v>2999</v>
      </c>
      <c r="C20" s="2">
        <v>3699</v>
      </c>
      <c r="D20" s="2" t="str">
        <f t="shared" si="0"/>
        <v>Medium Price</v>
      </c>
      <c r="E20" s="2">
        <f t="shared" si="1"/>
        <v>700</v>
      </c>
      <c r="F20" s="1">
        <v>0.19</v>
      </c>
      <c r="G20" s="1" t="str">
        <f t="shared" si="2"/>
        <v>Low Discount</v>
      </c>
      <c r="H20">
        <v>5</v>
      </c>
      <c r="I20">
        <v>4.5999999999999996</v>
      </c>
      <c r="J20" t="str">
        <f t="shared" si="3"/>
        <v>Excellent</v>
      </c>
    </row>
    <row r="21" spans="1:10" x14ac:dyDescent="0.35">
      <c r="A21" t="s">
        <v>34</v>
      </c>
      <c r="B21" s="2">
        <v>998</v>
      </c>
      <c r="C21" s="2">
        <v>1966</v>
      </c>
      <c r="D21" s="2" t="str">
        <f t="shared" si="0"/>
        <v>Low Price</v>
      </c>
      <c r="E21" s="2">
        <f t="shared" si="1"/>
        <v>968</v>
      </c>
      <c r="F21" s="1">
        <v>0.49</v>
      </c>
      <c r="G21" s="1" t="str">
        <f t="shared" si="2"/>
        <v>High Discount</v>
      </c>
      <c r="H21">
        <v>44</v>
      </c>
      <c r="I21">
        <v>4.5999999999999996</v>
      </c>
      <c r="J21" t="str">
        <f t="shared" si="3"/>
        <v>Excellent</v>
      </c>
    </row>
    <row r="22" spans="1:10" x14ac:dyDescent="0.35">
      <c r="A22" t="s">
        <v>35</v>
      </c>
      <c r="B22" s="2">
        <v>38</v>
      </c>
      <c r="C22" s="2">
        <v>80</v>
      </c>
      <c r="D22" s="2" t="str">
        <f t="shared" si="0"/>
        <v>Low Price</v>
      </c>
      <c r="E22" s="2">
        <f t="shared" si="1"/>
        <v>42</v>
      </c>
      <c r="F22" s="1">
        <v>0.53</v>
      </c>
      <c r="G22" s="1" t="str">
        <f t="shared" si="2"/>
        <v>High Discount</v>
      </c>
      <c r="H22">
        <v>13</v>
      </c>
      <c r="I22">
        <v>3.3</v>
      </c>
      <c r="J22" t="str">
        <f t="shared" si="3"/>
        <v>Average</v>
      </c>
    </row>
    <row r="23" spans="1:10" x14ac:dyDescent="0.35">
      <c r="A23" t="s">
        <v>37</v>
      </c>
      <c r="B23" s="2">
        <v>1860</v>
      </c>
      <c r="C23" s="2">
        <v>3220</v>
      </c>
      <c r="D23" s="2" t="str">
        <f t="shared" si="0"/>
        <v>Low Price</v>
      </c>
      <c r="E23" s="2">
        <f t="shared" si="1"/>
        <v>1360</v>
      </c>
      <c r="F23" s="1">
        <v>0.42</v>
      </c>
      <c r="G23" s="1" t="str">
        <f t="shared" si="2"/>
        <v>High Discount</v>
      </c>
      <c r="H23" t="s">
        <v>38</v>
      </c>
      <c r="I23" t="s">
        <v>38</v>
      </c>
      <c r="J23" t="str">
        <f t="shared" si="3"/>
        <v>Unknown</v>
      </c>
    </row>
    <row r="24" spans="1:10" x14ac:dyDescent="0.35">
      <c r="A24" t="s">
        <v>39</v>
      </c>
      <c r="B24" s="2">
        <v>880</v>
      </c>
      <c r="C24" s="2">
        <v>1350</v>
      </c>
      <c r="D24" s="2" t="str">
        <f t="shared" si="0"/>
        <v>Low Price</v>
      </c>
      <c r="E24" s="2">
        <f t="shared" si="1"/>
        <v>470</v>
      </c>
      <c r="F24" s="1">
        <v>0.35</v>
      </c>
      <c r="G24" s="1" t="str">
        <f t="shared" si="2"/>
        <v>Medium Discount</v>
      </c>
      <c r="H24">
        <v>6</v>
      </c>
      <c r="I24">
        <v>4</v>
      </c>
      <c r="J24" t="str">
        <f t="shared" si="3"/>
        <v>Average</v>
      </c>
    </row>
    <row r="25" spans="1:10" x14ac:dyDescent="0.35">
      <c r="A25" t="s">
        <v>40</v>
      </c>
      <c r="B25" s="2">
        <v>1650</v>
      </c>
      <c r="C25" s="2">
        <v>2150</v>
      </c>
      <c r="D25" s="2" t="str">
        <f t="shared" si="0"/>
        <v>Low Price</v>
      </c>
      <c r="E25" s="2">
        <f t="shared" si="1"/>
        <v>500</v>
      </c>
      <c r="F25" s="1">
        <v>0.23</v>
      </c>
      <c r="G25" s="1" t="str">
        <f t="shared" si="2"/>
        <v>Medium Discount</v>
      </c>
      <c r="H25">
        <v>14</v>
      </c>
      <c r="I25">
        <v>4.4000000000000004</v>
      </c>
      <c r="J25" t="str">
        <f t="shared" si="3"/>
        <v>Average</v>
      </c>
    </row>
    <row r="26" spans="1:10" x14ac:dyDescent="0.35">
      <c r="A26" t="s">
        <v>42</v>
      </c>
      <c r="B26" s="2">
        <v>2048</v>
      </c>
      <c r="C26" s="2">
        <v>4500</v>
      </c>
      <c r="D26" s="2" t="str">
        <f t="shared" si="0"/>
        <v>Medium Price</v>
      </c>
      <c r="E26" s="2">
        <f t="shared" si="1"/>
        <v>2452</v>
      </c>
      <c r="F26" s="1">
        <v>0.54</v>
      </c>
      <c r="G26" s="1" t="str">
        <f t="shared" si="2"/>
        <v>High Discount</v>
      </c>
      <c r="H26">
        <v>7</v>
      </c>
      <c r="I26">
        <v>4.3</v>
      </c>
      <c r="J26" t="str">
        <f t="shared" si="3"/>
        <v>Average</v>
      </c>
    </row>
    <row r="27" spans="1:10" x14ac:dyDescent="0.35">
      <c r="A27" t="s">
        <v>44</v>
      </c>
      <c r="B27" s="2">
        <v>420</v>
      </c>
      <c r="C27" s="2">
        <v>647</v>
      </c>
      <c r="D27" s="2" t="str">
        <f t="shared" si="0"/>
        <v>Low Price</v>
      </c>
      <c r="E27" s="2">
        <f t="shared" si="1"/>
        <v>227</v>
      </c>
      <c r="F27" s="1">
        <v>0.35</v>
      </c>
      <c r="G27" s="1" t="str">
        <f t="shared" si="2"/>
        <v>Medium Discount</v>
      </c>
      <c r="H27">
        <v>49</v>
      </c>
      <c r="I27">
        <v>4.5999999999999996</v>
      </c>
      <c r="J27" t="str">
        <f t="shared" si="3"/>
        <v>Excellent</v>
      </c>
    </row>
    <row r="28" spans="1:10" x14ac:dyDescent="0.35">
      <c r="A28" t="s">
        <v>45</v>
      </c>
      <c r="B28" s="2">
        <v>2880</v>
      </c>
      <c r="C28" s="2">
        <v>3520</v>
      </c>
      <c r="D28" s="2" t="str">
        <f t="shared" si="0"/>
        <v>Medium Price</v>
      </c>
      <c r="E28" s="2">
        <f t="shared" si="1"/>
        <v>640</v>
      </c>
      <c r="F28" s="1">
        <v>0.18</v>
      </c>
      <c r="G28" s="1" t="str">
        <f t="shared" si="2"/>
        <v>Low Discount</v>
      </c>
      <c r="H28">
        <v>12</v>
      </c>
      <c r="I28">
        <v>3.8</v>
      </c>
      <c r="J28" t="str">
        <f t="shared" si="3"/>
        <v>Average</v>
      </c>
    </row>
    <row r="29" spans="1:10" x14ac:dyDescent="0.35">
      <c r="A29" t="s">
        <v>46</v>
      </c>
      <c r="B29" s="2">
        <v>1350</v>
      </c>
      <c r="C29" s="2">
        <v>1990</v>
      </c>
      <c r="D29" s="2" t="str">
        <f t="shared" si="0"/>
        <v>Low Price</v>
      </c>
      <c r="E29" s="2">
        <f t="shared" si="1"/>
        <v>640</v>
      </c>
      <c r="F29" s="1">
        <v>0.32</v>
      </c>
      <c r="G29" s="1" t="str">
        <f t="shared" si="2"/>
        <v>Medium Discount</v>
      </c>
      <c r="H29">
        <v>13</v>
      </c>
      <c r="I29">
        <v>3.8</v>
      </c>
      <c r="J29" t="str">
        <f t="shared" si="3"/>
        <v>Average</v>
      </c>
    </row>
    <row r="30" spans="1:10" x14ac:dyDescent="0.35">
      <c r="A30" t="s">
        <v>47</v>
      </c>
      <c r="B30" s="2">
        <v>1758</v>
      </c>
      <c r="C30" s="2">
        <v>2499</v>
      </c>
      <c r="D30" s="2" t="str">
        <f t="shared" si="0"/>
        <v>Low Price</v>
      </c>
      <c r="E30" s="2">
        <f t="shared" si="1"/>
        <v>741</v>
      </c>
      <c r="F30" s="1">
        <v>0.3</v>
      </c>
      <c r="G30" s="1" t="str">
        <f t="shared" si="2"/>
        <v>Medium Discount</v>
      </c>
      <c r="H30">
        <v>20</v>
      </c>
      <c r="I30">
        <v>4.0999999999999996</v>
      </c>
      <c r="J30" t="str">
        <f t="shared" si="3"/>
        <v>Average</v>
      </c>
    </row>
    <row r="31" spans="1:10" x14ac:dyDescent="0.35">
      <c r="A31" t="s">
        <v>48</v>
      </c>
      <c r="B31" s="2">
        <v>2200</v>
      </c>
      <c r="C31" s="2">
        <v>4080</v>
      </c>
      <c r="D31" s="2" t="str">
        <f t="shared" si="0"/>
        <v>Medium Price</v>
      </c>
      <c r="E31" s="2">
        <f t="shared" si="1"/>
        <v>1880</v>
      </c>
      <c r="F31" s="1">
        <v>0.46</v>
      </c>
      <c r="G31" s="1" t="str">
        <f t="shared" si="2"/>
        <v>High Discount</v>
      </c>
      <c r="H31" t="s">
        <v>38</v>
      </c>
      <c r="I31" t="s">
        <v>38</v>
      </c>
      <c r="J31" t="str">
        <f t="shared" si="3"/>
        <v>Unknown</v>
      </c>
    </row>
    <row r="32" spans="1:10" x14ac:dyDescent="0.35">
      <c r="A32" t="s">
        <v>49</v>
      </c>
      <c r="B32" s="2">
        <v>185</v>
      </c>
      <c r="C32" s="2">
        <v>382</v>
      </c>
      <c r="D32" s="2" t="str">
        <f t="shared" si="0"/>
        <v>Low Price</v>
      </c>
      <c r="E32" s="2">
        <f t="shared" si="1"/>
        <v>197</v>
      </c>
      <c r="F32" s="1">
        <v>0.52</v>
      </c>
      <c r="G32" s="1" t="str">
        <f t="shared" si="2"/>
        <v>High Discount</v>
      </c>
      <c r="H32">
        <v>9</v>
      </c>
      <c r="I32">
        <v>4.3</v>
      </c>
      <c r="J32" t="str">
        <f t="shared" si="3"/>
        <v>Average</v>
      </c>
    </row>
    <row r="33" spans="1:10" x14ac:dyDescent="0.35">
      <c r="A33" t="s">
        <v>50</v>
      </c>
      <c r="B33" s="2">
        <v>980</v>
      </c>
      <c r="C33" s="2">
        <v>1490</v>
      </c>
      <c r="D33" s="2" t="str">
        <f t="shared" si="0"/>
        <v>Low Price</v>
      </c>
      <c r="E33" s="2">
        <f t="shared" si="1"/>
        <v>510</v>
      </c>
      <c r="F33" s="1">
        <v>0.34</v>
      </c>
      <c r="G33" s="1" t="str">
        <f t="shared" si="2"/>
        <v>Medium Discount</v>
      </c>
      <c r="H33">
        <v>12</v>
      </c>
      <c r="I33">
        <v>4.7</v>
      </c>
      <c r="J33" t="str">
        <f t="shared" si="3"/>
        <v>Excellent</v>
      </c>
    </row>
    <row r="34" spans="1:10" x14ac:dyDescent="0.35">
      <c r="A34" t="s">
        <v>51</v>
      </c>
      <c r="B34" s="2">
        <v>1820</v>
      </c>
      <c r="C34" s="2">
        <v>3490</v>
      </c>
      <c r="D34" s="2" t="str">
        <f t="shared" si="0"/>
        <v>Low Price</v>
      </c>
      <c r="E34" s="2">
        <f t="shared" si="1"/>
        <v>1670</v>
      </c>
      <c r="F34" s="1">
        <v>0.48</v>
      </c>
      <c r="G34" s="1" t="str">
        <f t="shared" si="2"/>
        <v>High Discount</v>
      </c>
      <c r="H34">
        <v>9</v>
      </c>
      <c r="I34">
        <v>4.3</v>
      </c>
      <c r="J34" t="str">
        <f t="shared" si="3"/>
        <v>Average</v>
      </c>
    </row>
    <row r="35" spans="1:10" x14ac:dyDescent="0.35">
      <c r="A35" t="s">
        <v>52</v>
      </c>
      <c r="B35" s="2">
        <v>1940</v>
      </c>
      <c r="C35" s="2">
        <v>2650</v>
      </c>
      <c r="D35" s="2" t="str">
        <f t="shared" si="0"/>
        <v>Low Price</v>
      </c>
      <c r="E35" s="2">
        <f t="shared" si="1"/>
        <v>710</v>
      </c>
      <c r="F35" s="1">
        <v>0.27</v>
      </c>
      <c r="G35" s="1" t="str">
        <f t="shared" si="2"/>
        <v>Medium Discount</v>
      </c>
      <c r="H35">
        <v>20</v>
      </c>
      <c r="I35">
        <v>4.7</v>
      </c>
      <c r="J35" t="str">
        <f t="shared" si="3"/>
        <v>Excellent</v>
      </c>
    </row>
    <row r="36" spans="1:10" x14ac:dyDescent="0.35">
      <c r="A36" t="s">
        <v>53</v>
      </c>
      <c r="B36" s="2">
        <v>1980</v>
      </c>
      <c r="C36" s="2">
        <v>2699</v>
      </c>
      <c r="D36" s="2" t="str">
        <f t="shared" si="0"/>
        <v>Low Price</v>
      </c>
      <c r="E36" s="2">
        <f t="shared" si="1"/>
        <v>719</v>
      </c>
      <c r="F36" s="1">
        <v>0.27</v>
      </c>
      <c r="G36" s="1" t="str">
        <f t="shared" si="2"/>
        <v>Medium Discount</v>
      </c>
      <c r="H36">
        <v>32</v>
      </c>
      <c r="I36">
        <v>4.5</v>
      </c>
      <c r="J36" t="str">
        <f t="shared" si="3"/>
        <v>Average</v>
      </c>
    </row>
    <row r="37" spans="1:10" x14ac:dyDescent="0.35">
      <c r="A37" t="s">
        <v>54</v>
      </c>
      <c r="B37" s="2">
        <v>1620</v>
      </c>
      <c r="C37" s="2">
        <v>2690</v>
      </c>
      <c r="D37" s="2" t="str">
        <f t="shared" si="0"/>
        <v>Low Price</v>
      </c>
      <c r="E37" s="2">
        <f t="shared" si="1"/>
        <v>1070</v>
      </c>
      <c r="F37" s="1">
        <v>0.4</v>
      </c>
      <c r="G37" s="1" t="str">
        <f t="shared" si="2"/>
        <v>Medium Discount</v>
      </c>
      <c r="H37">
        <v>1</v>
      </c>
      <c r="I37">
        <v>5</v>
      </c>
      <c r="J37" t="str">
        <f t="shared" si="3"/>
        <v>Excellent</v>
      </c>
    </row>
    <row r="38" spans="1:10" x14ac:dyDescent="0.35">
      <c r="A38" t="s">
        <v>55</v>
      </c>
      <c r="B38" s="2">
        <v>171</v>
      </c>
      <c r="C38" s="2">
        <v>360</v>
      </c>
      <c r="D38" s="2" t="str">
        <f t="shared" si="0"/>
        <v>Low Price</v>
      </c>
      <c r="E38" s="2">
        <f t="shared" si="1"/>
        <v>189</v>
      </c>
      <c r="F38" s="1">
        <v>0.53</v>
      </c>
      <c r="G38" s="1" t="str">
        <f t="shared" si="2"/>
        <v>High Discount</v>
      </c>
      <c r="H38">
        <v>2</v>
      </c>
      <c r="I38">
        <v>5</v>
      </c>
      <c r="J38" t="str">
        <f t="shared" si="3"/>
        <v>Excellent</v>
      </c>
    </row>
    <row r="39" spans="1:10" x14ac:dyDescent="0.35">
      <c r="A39" t="s">
        <v>56</v>
      </c>
      <c r="B39" s="2">
        <v>389</v>
      </c>
      <c r="C39" s="2">
        <v>656</v>
      </c>
      <c r="D39" s="2" t="str">
        <f t="shared" si="0"/>
        <v>Low Price</v>
      </c>
      <c r="E39" s="2">
        <f t="shared" si="1"/>
        <v>267</v>
      </c>
      <c r="F39" s="1">
        <v>0.41</v>
      </c>
      <c r="G39" s="1" t="str">
        <f t="shared" si="2"/>
        <v>High Discount</v>
      </c>
      <c r="H39">
        <v>36</v>
      </c>
      <c r="I39">
        <v>4.3</v>
      </c>
      <c r="J39" t="str">
        <f t="shared" si="3"/>
        <v>Average</v>
      </c>
    </row>
    <row r="40" spans="1:10" x14ac:dyDescent="0.35">
      <c r="A40" t="s">
        <v>57</v>
      </c>
      <c r="B40" s="2">
        <f>AVERAGE(1620,1980)</f>
        <v>1800</v>
      </c>
      <c r="C40" s="2">
        <f>AVERAGE(2200,3200)</f>
        <v>2700</v>
      </c>
      <c r="D40" s="2" t="str">
        <f t="shared" si="0"/>
        <v>Low Price</v>
      </c>
      <c r="E40" s="2">
        <f t="shared" si="1"/>
        <v>900</v>
      </c>
      <c r="F40" s="1">
        <v>0.38</v>
      </c>
      <c r="G40" s="1" t="str">
        <f t="shared" si="2"/>
        <v>Medium Discount</v>
      </c>
      <c r="H40">
        <v>2</v>
      </c>
      <c r="I40">
        <v>4.5</v>
      </c>
      <c r="J40" t="str">
        <f t="shared" si="3"/>
        <v>Average</v>
      </c>
    </row>
    <row r="41" spans="1:10" x14ac:dyDescent="0.35">
      <c r="A41" t="s">
        <v>60</v>
      </c>
      <c r="B41" s="2">
        <v>2750</v>
      </c>
      <c r="C41" s="2">
        <v>4471</v>
      </c>
      <c r="D41" s="2" t="str">
        <f t="shared" si="0"/>
        <v>Medium Price</v>
      </c>
      <c r="E41" s="2">
        <f t="shared" si="1"/>
        <v>1721</v>
      </c>
      <c r="F41" s="1">
        <v>0.38</v>
      </c>
      <c r="G41" s="1" t="str">
        <f t="shared" si="2"/>
        <v>Medium Discount</v>
      </c>
      <c r="H41" t="s">
        <v>38</v>
      </c>
      <c r="I41" t="s">
        <v>38</v>
      </c>
      <c r="J41" t="str">
        <f t="shared" si="3"/>
        <v>Unknown</v>
      </c>
    </row>
    <row r="42" spans="1:10" x14ac:dyDescent="0.35">
      <c r="A42" t="s">
        <v>61</v>
      </c>
      <c r="B42" s="2">
        <v>475</v>
      </c>
      <c r="C42" s="2">
        <v>931</v>
      </c>
      <c r="D42" s="2" t="str">
        <f t="shared" si="0"/>
        <v>Low Price</v>
      </c>
      <c r="E42" s="2">
        <f t="shared" si="1"/>
        <v>456</v>
      </c>
      <c r="F42" s="1">
        <v>0.49</v>
      </c>
      <c r="G42" s="1" t="str">
        <f t="shared" si="2"/>
        <v>High Discount</v>
      </c>
      <c r="H42" t="s">
        <v>38</v>
      </c>
      <c r="I42" t="s">
        <v>38</v>
      </c>
      <c r="J42" t="str">
        <f t="shared" si="3"/>
        <v>Unknown</v>
      </c>
    </row>
    <row r="43" spans="1:10" x14ac:dyDescent="0.35">
      <c r="A43" t="s">
        <v>62</v>
      </c>
      <c r="B43" s="2">
        <v>238</v>
      </c>
      <c r="C43" s="2">
        <v>476</v>
      </c>
      <c r="D43" s="2" t="str">
        <f t="shared" si="0"/>
        <v>Low Price</v>
      </c>
      <c r="E43" s="2">
        <f t="shared" si="1"/>
        <v>238</v>
      </c>
      <c r="F43" s="1">
        <v>0.5</v>
      </c>
      <c r="G43" s="1" t="str">
        <f t="shared" si="2"/>
        <v>High Discount</v>
      </c>
      <c r="H43" t="s">
        <v>38</v>
      </c>
      <c r="I43" t="s">
        <v>38</v>
      </c>
      <c r="J43" t="str">
        <f t="shared" si="3"/>
        <v>Unknown</v>
      </c>
    </row>
    <row r="44" spans="1:10" x14ac:dyDescent="0.35">
      <c r="A44" t="s">
        <v>63</v>
      </c>
      <c r="B44" s="2">
        <v>610</v>
      </c>
      <c r="C44" s="2">
        <v>1060</v>
      </c>
      <c r="D44" s="2" t="str">
        <f t="shared" si="0"/>
        <v>Low Price</v>
      </c>
      <c r="E44" s="2">
        <f t="shared" si="1"/>
        <v>450</v>
      </c>
      <c r="F44" s="1">
        <v>0.42</v>
      </c>
      <c r="G44" s="1" t="str">
        <f t="shared" si="2"/>
        <v>High Discount</v>
      </c>
      <c r="H44" t="s">
        <v>38</v>
      </c>
      <c r="I44" t="s">
        <v>38</v>
      </c>
      <c r="J44" t="str">
        <f t="shared" si="3"/>
        <v>Unknown</v>
      </c>
    </row>
    <row r="45" spans="1:10" x14ac:dyDescent="0.35">
      <c r="A45" t="s">
        <v>64</v>
      </c>
      <c r="B45" s="2">
        <v>2132</v>
      </c>
      <c r="C45" s="2">
        <v>2169</v>
      </c>
      <c r="D45" s="2" t="str">
        <f t="shared" si="0"/>
        <v>Medium Price</v>
      </c>
      <c r="E45" s="2">
        <f t="shared" si="1"/>
        <v>37</v>
      </c>
      <c r="F45" s="1">
        <v>0.02</v>
      </c>
      <c r="G45" s="1" t="str">
        <f t="shared" si="2"/>
        <v>Low Discount</v>
      </c>
      <c r="H45" t="s">
        <v>38</v>
      </c>
      <c r="I45" t="s">
        <v>38</v>
      </c>
      <c r="J45" t="str">
        <f t="shared" si="3"/>
        <v>Unknown</v>
      </c>
    </row>
    <row r="46" spans="1:10" x14ac:dyDescent="0.35">
      <c r="A46" t="s">
        <v>65</v>
      </c>
      <c r="B46" s="2">
        <v>999</v>
      </c>
      <c r="C46" s="2">
        <v>2000</v>
      </c>
      <c r="D46" s="2" t="str">
        <f t="shared" si="0"/>
        <v>Low Price</v>
      </c>
      <c r="E46" s="2">
        <f t="shared" si="1"/>
        <v>1001</v>
      </c>
      <c r="F46" s="1">
        <v>0.5</v>
      </c>
      <c r="G46" s="1" t="str">
        <f t="shared" si="2"/>
        <v>High Discount</v>
      </c>
      <c r="H46" t="s">
        <v>38</v>
      </c>
      <c r="I46" t="s">
        <v>38</v>
      </c>
      <c r="J46" t="str">
        <f t="shared" si="3"/>
        <v>Unknown</v>
      </c>
    </row>
    <row r="47" spans="1:10" x14ac:dyDescent="0.35">
      <c r="A47" t="s">
        <v>66</v>
      </c>
      <c r="B47" s="2">
        <v>1190</v>
      </c>
      <c r="C47" s="2">
        <v>1785</v>
      </c>
      <c r="D47" s="2" t="str">
        <f t="shared" si="0"/>
        <v>Low Price</v>
      </c>
      <c r="E47" s="2">
        <f t="shared" si="1"/>
        <v>595</v>
      </c>
      <c r="F47" s="1">
        <v>0.33</v>
      </c>
      <c r="G47" s="1" t="str">
        <f t="shared" si="2"/>
        <v>Medium Discount</v>
      </c>
      <c r="H47" t="s">
        <v>38</v>
      </c>
      <c r="I47" t="s">
        <v>38</v>
      </c>
      <c r="J47" t="str">
        <f t="shared" si="3"/>
        <v>Unknown</v>
      </c>
    </row>
    <row r="48" spans="1:10" x14ac:dyDescent="0.35">
      <c r="A48" t="s">
        <v>67</v>
      </c>
      <c r="B48" s="2">
        <v>671</v>
      </c>
      <c r="C48" s="2">
        <v>1316</v>
      </c>
      <c r="D48" s="2" t="str">
        <f t="shared" si="0"/>
        <v>Low Price</v>
      </c>
      <c r="E48" s="2">
        <f t="shared" si="1"/>
        <v>645</v>
      </c>
      <c r="F48" s="1">
        <v>0.49</v>
      </c>
      <c r="G48" s="1" t="str">
        <f t="shared" si="2"/>
        <v>High Discount</v>
      </c>
      <c r="H48" t="s">
        <v>38</v>
      </c>
      <c r="I48" t="s">
        <v>38</v>
      </c>
      <c r="J48" t="str">
        <f t="shared" si="3"/>
        <v>Unknown</v>
      </c>
    </row>
    <row r="49" spans="1:10" x14ac:dyDescent="0.35">
      <c r="A49" t="s">
        <v>68</v>
      </c>
      <c r="B49" s="2">
        <v>1200</v>
      </c>
      <c r="C49" s="2">
        <v>1950</v>
      </c>
      <c r="D49" s="2" t="str">
        <f t="shared" si="0"/>
        <v>Low Price</v>
      </c>
      <c r="E49" s="2">
        <f t="shared" si="1"/>
        <v>750</v>
      </c>
      <c r="F49" s="1">
        <v>0.38</v>
      </c>
      <c r="G49" s="1" t="str">
        <f t="shared" si="2"/>
        <v>Medium Discount</v>
      </c>
      <c r="H49" t="s">
        <v>38</v>
      </c>
      <c r="I49" t="s">
        <v>38</v>
      </c>
      <c r="J49" t="str">
        <f t="shared" si="3"/>
        <v>Unknown</v>
      </c>
    </row>
    <row r="50" spans="1:10" x14ac:dyDescent="0.35">
      <c r="A50" t="s">
        <v>69</v>
      </c>
      <c r="B50" s="2">
        <v>199</v>
      </c>
      <c r="C50" s="2">
        <v>504</v>
      </c>
      <c r="D50" s="2" t="str">
        <f t="shared" si="0"/>
        <v>Low Price</v>
      </c>
      <c r="E50" s="2">
        <f t="shared" si="1"/>
        <v>305</v>
      </c>
      <c r="F50" s="1">
        <v>0.61</v>
      </c>
      <c r="G50" s="1" t="str">
        <f t="shared" si="2"/>
        <v>High Discount</v>
      </c>
      <c r="H50" t="s">
        <v>38</v>
      </c>
      <c r="I50" t="s">
        <v>38</v>
      </c>
      <c r="J50" t="str">
        <f t="shared" si="3"/>
        <v>Unknown</v>
      </c>
    </row>
    <row r="51" spans="1:10" x14ac:dyDescent="0.35">
      <c r="A51" t="s">
        <v>70</v>
      </c>
      <c r="B51" s="2">
        <v>299</v>
      </c>
      <c r="C51" s="2">
        <v>600</v>
      </c>
      <c r="D51" s="2" t="str">
        <f t="shared" si="0"/>
        <v>Low Price</v>
      </c>
      <c r="E51" s="2">
        <f t="shared" si="1"/>
        <v>301</v>
      </c>
      <c r="F51" s="1">
        <v>0.5</v>
      </c>
      <c r="G51" s="1" t="str">
        <f t="shared" si="2"/>
        <v>High Discount</v>
      </c>
      <c r="H51" t="s">
        <v>38</v>
      </c>
      <c r="I51" t="s">
        <v>38</v>
      </c>
      <c r="J51" t="str">
        <f t="shared" si="3"/>
        <v>Unknown</v>
      </c>
    </row>
    <row r="52" spans="1:10" x14ac:dyDescent="0.35">
      <c r="A52" t="s">
        <v>71</v>
      </c>
      <c r="B52" s="2">
        <v>1660</v>
      </c>
      <c r="C52" s="2">
        <v>1699</v>
      </c>
      <c r="D52" s="2" t="str">
        <f t="shared" si="0"/>
        <v>Low Price</v>
      </c>
      <c r="E52" s="2">
        <f t="shared" si="1"/>
        <v>39</v>
      </c>
      <c r="F52" s="1">
        <v>0.02</v>
      </c>
      <c r="G52" s="1" t="str">
        <f t="shared" si="2"/>
        <v>Low Discount</v>
      </c>
      <c r="H52" t="s">
        <v>38</v>
      </c>
      <c r="I52" t="s">
        <v>38</v>
      </c>
      <c r="J52" t="str">
        <f t="shared" si="3"/>
        <v>Unknown</v>
      </c>
    </row>
    <row r="53" spans="1:10" x14ac:dyDescent="0.35">
      <c r="A53" t="s">
        <v>72</v>
      </c>
      <c r="B53" s="2">
        <v>299</v>
      </c>
      <c r="C53" s="2">
        <v>384</v>
      </c>
      <c r="D53" s="2" t="str">
        <f t="shared" si="0"/>
        <v>Low Price</v>
      </c>
      <c r="E53" s="2">
        <f t="shared" si="1"/>
        <v>85</v>
      </c>
      <c r="F53" s="1">
        <v>0.22</v>
      </c>
      <c r="G53" s="1" t="str">
        <f t="shared" si="2"/>
        <v>Medium Discount</v>
      </c>
      <c r="H53" t="s">
        <v>38</v>
      </c>
      <c r="I53" t="s">
        <v>38</v>
      </c>
      <c r="J53" t="str">
        <f t="shared" si="3"/>
        <v>Unknown</v>
      </c>
    </row>
    <row r="54" spans="1:10" x14ac:dyDescent="0.35">
      <c r="A54" t="s">
        <v>73</v>
      </c>
      <c r="B54" s="2">
        <v>1459</v>
      </c>
      <c r="C54" s="2">
        <v>1499</v>
      </c>
      <c r="D54" s="2" t="str">
        <f t="shared" si="0"/>
        <v>Low Price</v>
      </c>
      <c r="E54" s="2">
        <f t="shared" si="1"/>
        <v>40</v>
      </c>
      <c r="F54" s="1">
        <v>0.03</v>
      </c>
      <c r="G54" s="1" t="str">
        <f t="shared" si="2"/>
        <v>Low Discount</v>
      </c>
      <c r="H54" t="s">
        <v>38</v>
      </c>
      <c r="I54" t="s">
        <v>38</v>
      </c>
      <c r="J54" t="str">
        <f t="shared" si="3"/>
        <v>Unknown</v>
      </c>
    </row>
    <row r="55" spans="1:10" x14ac:dyDescent="0.35">
      <c r="A55" t="s">
        <v>74</v>
      </c>
      <c r="B55" s="2">
        <v>799</v>
      </c>
      <c r="C55" s="2">
        <v>1343</v>
      </c>
      <c r="D55" s="2" t="str">
        <f t="shared" si="0"/>
        <v>Low Price</v>
      </c>
      <c r="E55" s="2">
        <f t="shared" si="1"/>
        <v>544</v>
      </c>
      <c r="F55" s="1">
        <v>0.41</v>
      </c>
      <c r="G55" s="1" t="str">
        <f t="shared" si="2"/>
        <v>High Discount</v>
      </c>
      <c r="H55" t="s">
        <v>38</v>
      </c>
      <c r="I55" t="s">
        <v>38</v>
      </c>
      <c r="J55" t="str">
        <f t="shared" si="3"/>
        <v>Unknown</v>
      </c>
    </row>
    <row r="56" spans="1:10" x14ac:dyDescent="0.35">
      <c r="A56" t="s">
        <v>75</v>
      </c>
      <c r="B56" s="2">
        <v>499</v>
      </c>
      <c r="C56" s="2">
        <v>900</v>
      </c>
      <c r="D56" s="2" t="str">
        <f t="shared" si="0"/>
        <v>Low Price</v>
      </c>
      <c r="E56" s="2">
        <f t="shared" si="1"/>
        <v>401</v>
      </c>
      <c r="F56" s="1">
        <v>0.45</v>
      </c>
      <c r="G56" s="1" t="str">
        <f t="shared" si="2"/>
        <v>High Discount</v>
      </c>
      <c r="H56" t="s">
        <v>38</v>
      </c>
      <c r="I56" t="s">
        <v>38</v>
      </c>
      <c r="J56" t="str">
        <f t="shared" si="3"/>
        <v>Unknown</v>
      </c>
    </row>
    <row r="57" spans="1:10" x14ac:dyDescent="0.35">
      <c r="A57" t="s">
        <v>76</v>
      </c>
      <c r="B57" s="2">
        <v>699</v>
      </c>
      <c r="C57" s="2">
        <v>1343</v>
      </c>
      <c r="D57" s="2" t="str">
        <f t="shared" si="0"/>
        <v>Low Price</v>
      </c>
      <c r="E57" s="2">
        <f t="shared" si="1"/>
        <v>644</v>
      </c>
      <c r="F57" s="1">
        <v>0.48</v>
      </c>
      <c r="G57" s="1" t="str">
        <f t="shared" si="2"/>
        <v>High Discount</v>
      </c>
      <c r="H57" t="s">
        <v>38</v>
      </c>
      <c r="I57" t="s">
        <v>38</v>
      </c>
      <c r="J57" t="str">
        <f t="shared" si="3"/>
        <v>Unknown</v>
      </c>
    </row>
    <row r="58" spans="1:10" x14ac:dyDescent="0.35">
      <c r="A58" t="s">
        <v>77</v>
      </c>
      <c r="B58" s="2">
        <v>799</v>
      </c>
      <c r="C58" s="2">
        <v>1567</v>
      </c>
      <c r="D58" s="2" t="str">
        <f t="shared" si="0"/>
        <v>Low Price</v>
      </c>
      <c r="E58" s="2">
        <f t="shared" si="1"/>
        <v>768</v>
      </c>
      <c r="F58" s="1">
        <v>0.49</v>
      </c>
      <c r="G58" s="1" t="str">
        <f t="shared" si="2"/>
        <v>High Discount</v>
      </c>
      <c r="H58" t="s">
        <v>38</v>
      </c>
      <c r="I58" t="s">
        <v>38</v>
      </c>
      <c r="J58" t="str">
        <f t="shared" si="3"/>
        <v>Unknown</v>
      </c>
    </row>
    <row r="59" spans="1:10" x14ac:dyDescent="0.35">
      <c r="A59" t="s">
        <v>78</v>
      </c>
      <c r="B59" s="2">
        <v>2799</v>
      </c>
      <c r="C59" s="2">
        <v>3810</v>
      </c>
      <c r="D59" s="2" t="str">
        <f t="shared" si="0"/>
        <v>Medium Price</v>
      </c>
      <c r="E59" s="2">
        <f t="shared" si="1"/>
        <v>1011</v>
      </c>
      <c r="F59" s="1">
        <v>0.27</v>
      </c>
      <c r="G59" s="1" t="str">
        <f t="shared" si="2"/>
        <v>Medium Discount</v>
      </c>
      <c r="H59" t="s">
        <v>38</v>
      </c>
      <c r="I59" t="s">
        <v>38</v>
      </c>
      <c r="J59" t="str">
        <f t="shared" si="3"/>
        <v>Unknown</v>
      </c>
    </row>
    <row r="60" spans="1:10" x14ac:dyDescent="0.35">
      <c r="A60" t="s">
        <v>75</v>
      </c>
      <c r="B60" s="2">
        <v>399</v>
      </c>
      <c r="C60" s="2">
        <v>896</v>
      </c>
      <c r="D60" s="2" t="str">
        <f t="shared" si="0"/>
        <v>Low Price</v>
      </c>
      <c r="E60" s="2">
        <f t="shared" si="1"/>
        <v>497</v>
      </c>
      <c r="F60" s="1">
        <v>0.55000000000000004</v>
      </c>
      <c r="G60" s="1" t="str">
        <f t="shared" si="2"/>
        <v>High Discount</v>
      </c>
      <c r="H60" t="s">
        <v>38</v>
      </c>
      <c r="I60" t="s">
        <v>38</v>
      </c>
      <c r="J60" t="str">
        <f t="shared" si="3"/>
        <v>Unknown</v>
      </c>
    </row>
    <row r="61" spans="1:10" x14ac:dyDescent="0.35">
      <c r="A61" t="s">
        <v>79</v>
      </c>
      <c r="B61" s="2">
        <v>2170</v>
      </c>
      <c r="C61" s="2">
        <v>2500</v>
      </c>
      <c r="D61" s="2" t="str">
        <f t="shared" si="0"/>
        <v>Medium Price</v>
      </c>
      <c r="E61" s="2">
        <f t="shared" si="1"/>
        <v>330</v>
      </c>
      <c r="F61" s="1">
        <v>0.13</v>
      </c>
      <c r="G61" s="1" t="str">
        <f t="shared" si="2"/>
        <v>Low Discount</v>
      </c>
      <c r="H61">
        <v>6</v>
      </c>
      <c r="I61">
        <v>2.5</v>
      </c>
      <c r="J61" t="str">
        <f t="shared" si="3"/>
        <v>Poor</v>
      </c>
    </row>
    <row r="62" spans="1:10" x14ac:dyDescent="0.35">
      <c r="A62" t="s">
        <v>81</v>
      </c>
      <c r="B62" s="2">
        <v>458</v>
      </c>
      <c r="C62" s="2">
        <v>986</v>
      </c>
      <c r="D62" s="2" t="str">
        <f t="shared" si="0"/>
        <v>Low Price</v>
      </c>
      <c r="E62" s="2">
        <f t="shared" si="1"/>
        <v>528</v>
      </c>
      <c r="F62" s="1">
        <v>0.54</v>
      </c>
      <c r="G62" s="1" t="str">
        <f t="shared" si="2"/>
        <v>High Discount</v>
      </c>
      <c r="H62">
        <v>10</v>
      </c>
      <c r="I62">
        <v>3</v>
      </c>
      <c r="J62" t="str">
        <f t="shared" si="3"/>
        <v>Average</v>
      </c>
    </row>
    <row r="63" spans="1:10" x14ac:dyDescent="0.35">
      <c r="A63" t="s">
        <v>83</v>
      </c>
      <c r="B63" s="2">
        <v>2115</v>
      </c>
      <c r="C63" s="2">
        <v>4700</v>
      </c>
      <c r="D63" s="2" t="str">
        <f t="shared" si="0"/>
        <v>Medium Price</v>
      </c>
      <c r="E63" s="2">
        <f t="shared" si="1"/>
        <v>2585</v>
      </c>
      <c r="F63" s="1">
        <v>0.55000000000000004</v>
      </c>
      <c r="G63" s="1" t="str">
        <f t="shared" si="2"/>
        <v>High Discount</v>
      </c>
      <c r="H63">
        <v>13</v>
      </c>
      <c r="I63">
        <v>2.1</v>
      </c>
      <c r="J63" t="str">
        <f t="shared" si="3"/>
        <v>Poor</v>
      </c>
    </row>
    <row r="64" spans="1:10" x14ac:dyDescent="0.35">
      <c r="A64" t="s">
        <v>85</v>
      </c>
      <c r="B64" s="2">
        <v>445</v>
      </c>
      <c r="C64" s="2">
        <v>873</v>
      </c>
      <c r="D64" s="2" t="str">
        <f t="shared" si="0"/>
        <v>Low Price</v>
      </c>
      <c r="E64" s="2">
        <f t="shared" si="1"/>
        <v>428</v>
      </c>
      <c r="F64" s="1">
        <v>0.49</v>
      </c>
      <c r="G64" s="1" t="str">
        <f t="shared" si="2"/>
        <v>High Discount</v>
      </c>
      <c r="H64">
        <v>69</v>
      </c>
      <c r="I64">
        <v>2.8</v>
      </c>
      <c r="J64" t="str">
        <f t="shared" si="3"/>
        <v>Poor</v>
      </c>
    </row>
    <row r="65" spans="1:10" x14ac:dyDescent="0.35">
      <c r="A65" t="s">
        <v>87</v>
      </c>
      <c r="B65" s="2">
        <v>325</v>
      </c>
      <c r="C65" s="2">
        <v>680</v>
      </c>
      <c r="D65" s="2" t="str">
        <f t="shared" si="0"/>
        <v>Low Price</v>
      </c>
      <c r="E65" s="2">
        <f t="shared" si="1"/>
        <v>355</v>
      </c>
      <c r="F65" s="1">
        <v>0.52</v>
      </c>
      <c r="G65" s="1" t="str">
        <f t="shared" si="2"/>
        <v>High Discount</v>
      </c>
      <c r="H65">
        <v>15</v>
      </c>
      <c r="I65">
        <v>2.7</v>
      </c>
      <c r="J65" t="str">
        <f t="shared" si="3"/>
        <v>Poor</v>
      </c>
    </row>
    <row r="66" spans="1:10" x14ac:dyDescent="0.35">
      <c r="A66" t="s">
        <v>89</v>
      </c>
      <c r="B66" s="2">
        <v>1220</v>
      </c>
      <c r="C66" s="2">
        <v>1555</v>
      </c>
      <c r="D66" s="2" t="str">
        <f t="shared" si="0"/>
        <v>Low Price</v>
      </c>
      <c r="E66" s="2">
        <f t="shared" si="1"/>
        <v>335</v>
      </c>
      <c r="F66" s="1">
        <v>0.22</v>
      </c>
      <c r="G66" s="1" t="str">
        <f t="shared" si="2"/>
        <v>Medium Discount</v>
      </c>
      <c r="H66">
        <v>16</v>
      </c>
      <c r="I66">
        <v>2.9</v>
      </c>
      <c r="J66" t="str">
        <f t="shared" si="3"/>
        <v>Poor</v>
      </c>
    </row>
    <row r="67" spans="1:10" x14ac:dyDescent="0.35">
      <c r="A67" t="s">
        <v>91</v>
      </c>
      <c r="B67" s="2">
        <v>990</v>
      </c>
      <c r="C67" s="2">
        <v>1814</v>
      </c>
      <c r="D67" s="2" t="str">
        <f t="shared" ref="D67:D113" si="4">IF(B67&gt;3000,"High Price",IF(B67&gt;=2000,"Medium Price","Low Price"))</f>
        <v>Low Price</v>
      </c>
      <c r="E67" s="2">
        <f t="shared" ref="E67:E113" si="5">C67-B67</f>
        <v>824</v>
      </c>
      <c r="F67" s="1">
        <v>0.45</v>
      </c>
      <c r="G67" s="1" t="str">
        <f t="shared" ref="G67:G113" si="6">IF(F67&lt;20%,"Low Discount",IF(F67&lt;=40%,"Medium Discount","High Discount"))</f>
        <v>High Discount</v>
      </c>
      <c r="H67">
        <v>6</v>
      </c>
      <c r="I67">
        <v>2.2000000000000002</v>
      </c>
      <c r="J67" t="str">
        <f t="shared" ref="J67:J113" si="7">IF(I67="Unknown","Unknown",IF(I67&lt;3,"Poor",IF(I67&lt;=4.5,"Average","Excellent")))</f>
        <v>Poor</v>
      </c>
    </row>
    <row r="68" spans="1:10" x14ac:dyDescent="0.35">
      <c r="A68" t="s">
        <v>93</v>
      </c>
      <c r="B68" s="2">
        <v>1000</v>
      </c>
      <c r="C68" s="2">
        <v>2000</v>
      </c>
      <c r="D68" s="2" t="str">
        <f t="shared" si="4"/>
        <v>Low Price</v>
      </c>
      <c r="E68" s="2">
        <f t="shared" si="5"/>
        <v>1000</v>
      </c>
      <c r="F68" s="1">
        <v>0.5</v>
      </c>
      <c r="G68" s="1" t="str">
        <f t="shared" si="6"/>
        <v>High Discount</v>
      </c>
      <c r="H68">
        <v>7</v>
      </c>
      <c r="I68">
        <v>2.2999999999999998</v>
      </c>
      <c r="J68" t="str">
        <f t="shared" si="7"/>
        <v>Poor</v>
      </c>
    </row>
    <row r="69" spans="1:10" x14ac:dyDescent="0.35">
      <c r="A69" t="s">
        <v>95</v>
      </c>
      <c r="B69" s="2">
        <v>3750</v>
      </c>
      <c r="C69" s="2">
        <v>6143</v>
      </c>
      <c r="D69" s="2" t="str">
        <f t="shared" si="4"/>
        <v>High Price</v>
      </c>
      <c r="E69" s="2">
        <f t="shared" si="5"/>
        <v>2393</v>
      </c>
      <c r="F69" s="1">
        <v>0.39</v>
      </c>
      <c r="G69" s="1" t="str">
        <f t="shared" si="6"/>
        <v>Medium Discount</v>
      </c>
      <c r="H69">
        <v>5</v>
      </c>
      <c r="I69">
        <v>3</v>
      </c>
      <c r="J69" t="str">
        <f t="shared" si="7"/>
        <v>Average</v>
      </c>
    </row>
    <row r="70" spans="1:10" x14ac:dyDescent="0.35">
      <c r="A70" t="s">
        <v>96</v>
      </c>
      <c r="B70" s="2">
        <v>382</v>
      </c>
      <c r="C70" s="2">
        <v>700</v>
      </c>
      <c r="D70" s="2" t="str">
        <f t="shared" si="4"/>
        <v>Low Price</v>
      </c>
      <c r="E70" s="2">
        <f t="shared" si="5"/>
        <v>318</v>
      </c>
      <c r="F70" s="1">
        <v>0.45</v>
      </c>
      <c r="G70" s="1" t="str">
        <f t="shared" si="6"/>
        <v>High Discount</v>
      </c>
      <c r="H70">
        <v>17</v>
      </c>
      <c r="I70">
        <v>2.6</v>
      </c>
      <c r="J70" t="str">
        <f t="shared" si="7"/>
        <v>Poor</v>
      </c>
    </row>
    <row r="71" spans="1:10" x14ac:dyDescent="0.35">
      <c r="A71" t="s">
        <v>98</v>
      </c>
      <c r="B71" s="2">
        <v>2300</v>
      </c>
      <c r="C71" s="2">
        <v>3240</v>
      </c>
      <c r="D71" s="2" t="str">
        <f t="shared" si="4"/>
        <v>Medium Price</v>
      </c>
      <c r="E71" s="2">
        <f t="shared" si="5"/>
        <v>940</v>
      </c>
      <c r="F71" s="1">
        <v>0.28999999999999998</v>
      </c>
      <c r="G71" s="1" t="str">
        <f t="shared" si="6"/>
        <v>Medium Discount</v>
      </c>
      <c r="H71">
        <v>5</v>
      </c>
      <c r="I71">
        <v>3</v>
      </c>
      <c r="J71" t="str">
        <f t="shared" si="7"/>
        <v>Average</v>
      </c>
    </row>
    <row r="72" spans="1:10" x14ac:dyDescent="0.35">
      <c r="A72" t="s">
        <v>99</v>
      </c>
      <c r="B72" s="2">
        <v>345</v>
      </c>
      <c r="C72" s="2">
        <v>602</v>
      </c>
      <c r="D72" s="2" t="str">
        <f t="shared" si="4"/>
        <v>Low Price</v>
      </c>
      <c r="E72" s="2">
        <f t="shared" si="5"/>
        <v>257</v>
      </c>
      <c r="F72" s="1">
        <v>0.43</v>
      </c>
      <c r="G72" s="1" t="str">
        <f t="shared" si="6"/>
        <v>High Discount</v>
      </c>
      <c r="H72">
        <v>6</v>
      </c>
      <c r="I72">
        <v>2.2999999999999998</v>
      </c>
      <c r="J72" t="str">
        <f t="shared" si="7"/>
        <v>Poor</v>
      </c>
    </row>
    <row r="73" spans="1:10" x14ac:dyDescent="0.35">
      <c r="A73" t="s">
        <v>100</v>
      </c>
      <c r="B73" s="2">
        <v>509</v>
      </c>
      <c r="C73" s="2">
        <v>899</v>
      </c>
      <c r="D73" s="2" t="str">
        <f t="shared" si="4"/>
        <v>Low Price</v>
      </c>
      <c r="E73" s="2">
        <f t="shared" si="5"/>
        <v>390</v>
      </c>
      <c r="F73" s="1">
        <v>0.43</v>
      </c>
      <c r="G73" s="1" t="str">
        <f t="shared" si="6"/>
        <v>High Discount</v>
      </c>
      <c r="H73">
        <v>5</v>
      </c>
      <c r="I73">
        <v>3</v>
      </c>
      <c r="J73" t="str">
        <f t="shared" si="7"/>
        <v>Average</v>
      </c>
    </row>
    <row r="74" spans="1:10" x14ac:dyDescent="0.35">
      <c r="A74" t="s">
        <v>101</v>
      </c>
      <c r="B74" s="2">
        <v>968</v>
      </c>
      <c r="C74" s="2">
        <v>1814</v>
      </c>
      <c r="D74" s="2" t="str">
        <f t="shared" si="4"/>
        <v>Low Price</v>
      </c>
      <c r="E74" s="2">
        <f t="shared" si="5"/>
        <v>846</v>
      </c>
      <c r="F74" s="1">
        <v>0.47</v>
      </c>
      <c r="G74" s="1" t="str">
        <f t="shared" si="6"/>
        <v>High Discount</v>
      </c>
      <c r="H74">
        <v>6</v>
      </c>
      <c r="I74">
        <v>2.2000000000000002</v>
      </c>
      <c r="J74" t="str">
        <f t="shared" si="7"/>
        <v>Poor</v>
      </c>
    </row>
    <row r="75" spans="1:10" x14ac:dyDescent="0.35">
      <c r="A75" t="s">
        <v>102</v>
      </c>
      <c r="B75" s="2">
        <v>1570</v>
      </c>
      <c r="C75" s="2">
        <v>2988</v>
      </c>
      <c r="D75" s="2" t="str">
        <f t="shared" si="4"/>
        <v>Low Price</v>
      </c>
      <c r="E75" s="2">
        <f t="shared" si="5"/>
        <v>1418</v>
      </c>
      <c r="F75" s="1">
        <v>0.47</v>
      </c>
      <c r="G75" s="1" t="str">
        <f t="shared" si="6"/>
        <v>High Discount</v>
      </c>
      <c r="H75">
        <v>7</v>
      </c>
      <c r="I75">
        <v>2.1</v>
      </c>
      <c r="J75" t="str">
        <f t="shared" si="7"/>
        <v>Poor</v>
      </c>
    </row>
    <row r="76" spans="1:10" x14ac:dyDescent="0.35">
      <c r="A76" t="s">
        <v>103</v>
      </c>
      <c r="B76" s="2">
        <v>790</v>
      </c>
      <c r="C76" s="2">
        <v>1485</v>
      </c>
      <c r="D76" s="2" t="str">
        <f t="shared" si="4"/>
        <v>Low Price</v>
      </c>
      <c r="E76" s="2">
        <f t="shared" si="5"/>
        <v>695</v>
      </c>
      <c r="F76" s="1">
        <v>0.47</v>
      </c>
      <c r="G76" s="1" t="str">
        <f t="shared" si="6"/>
        <v>High Discount</v>
      </c>
      <c r="H76" t="s">
        <v>38</v>
      </c>
      <c r="I76" t="s">
        <v>38</v>
      </c>
      <c r="J76" t="str">
        <f t="shared" si="7"/>
        <v>Unknown</v>
      </c>
    </row>
    <row r="77" spans="1:10" x14ac:dyDescent="0.35">
      <c r="A77" t="s">
        <v>104</v>
      </c>
      <c r="B77" s="2">
        <v>690</v>
      </c>
      <c r="C77" s="2">
        <v>1200</v>
      </c>
      <c r="D77" s="2" t="str">
        <f t="shared" si="4"/>
        <v>Low Price</v>
      </c>
      <c r="E77" s="2">
        <f t="shared" si="5"/>
        <v>510</v>
      </c>
      <c r="F77" s="1">
        <v>0.43</v>
      </c>
      <c r="G77" s="1" t="str">
        <f t="shared" si="6"/>
        <v>High Discount</v>
      </c>
      <c r="H77" t="s">
        <v>38</v>
      </c>
      <c r="I77" t="s">
        <v>38</v>
      </c>
      <c r="J77" t="str">
        <f t="shared" si="7"/>
        <v>Unknown</v>
      </c>
    </row>
    <row r="78" spans="1:10" x14ac:dyDescent="0.35">
      <c r="A78" t="s">
        <v>105</v>
      </c>
      <c r="B78" s="2">
        <v>1732</v>
      </c>
      <c r="C78" s="2">
        <v>1799</v>
      </c>
      <c r="D78" s="2" t="str">
        <f t="shared" si="4"/>
        <v>Low Price</v>
      </c>
      <c r="E78" s="2">
        <f t="shared" si="5"/>
        <v>67</v>
      </c>
      <c r="F78" s="1">
        <v>0.04</v>
      </c>
      <c r="G78" s="1" t="str">
        <f t="shared" si="6"/>
        <v>Low Discount</v>
      </c>
      <c r="H78" t="s">
        <v>38</v>
      </c>
      <c r="I78" t="s">
        <v>38</v>
      </c>
      <c r="J78" t="str">
        <f t="shared" si="7"/>
        <v>Unknown</v>
      </c>
    </row>
    <row r="79" spans="1:10" x14ac:dyDescent="0.35">
      <c r="A79" t="s">
        <v>106</v>
      </c>
      <c r="B79" s="2">
        <v>230</v>
      </c>
      <c r="C79" s="2">
        <v>450</v>
      </c>
      <c r="D79" s="2" t="str">
        <f t="shared" si="4"/>
        <v>Low Price</v>
      </c>
      <c r="E79" s="2">
        <f t="shared" si="5"/>
        <v>220</v>
      </c>
      <c r="F79" s="1">
        <v>0.49</v>
      </c>
      <c r="G79" s="1" t="str">
        <f t="shared" si="6"/>
        <v>High Discount</v>
      </c>
      <c r="H79" t="s">
        <v>38</v>
      </c>
      <c r="I79" t="s">
        <v>38</v>
      </c>
      <c r="J79" t="str">
        <f t="shared" si="7"/>
        <v>Unknown</v>
      </c>
    </row>
    <row r="80" spans="1:10" x14ac:dyDescent="0.35">
      <c r="A80" t="s">
        <v>107</v>
      </c>
      <c r="B80" s="2">
        <v>1189</v>
      </c>
      <c r="C80" s="2">
        <v>2199</v>
      </c>
      <c r="D80" s="2" t="str">
        <f t="shared" si="4"/>
        <v>Low Price</v>
      </c>
      <c r="E80" s="2">
        <f t="shared" si="5"/>
        <v>1010</v>
      </c>
      <c r="F80" s="1">
        <v>0.46</v>
      </c>
      <c r="G80" s="1" t="str">
        <f t="shared" si="6"/>
        <v>High Discount</v>
      </c>
      <c r="H80">
        <v>1</v>
      </c>
      <c r="I80">
        <v>3</v>
      </c>
      <c r="J80" t="str">
        <f t="shared" si="7"/>
        <v>Average</v>
      </c>
    </row>
    <row r="81" spans="1:10" x14ac:dyDescent="0.35">
      <c r="A81" t="s">
        <v>108</v>
      </c>
      <c r="B81" s="2">
        <v>979</v>
      </c>
      <c r="C81" s="2">
        <v>1920</v>
      </c>
      <c r="D81" s="2" t="str">
        <f t="shared" si="4"/>
        <v>Low Price</v>
      </c>
      <c r="E81" s="2">
        <f t="shared" si="5"/>
        <v>941</v>
      </c>
      <c r="F81" s="1">
        <v>0.49</v>
      </c>
      <c r="G81" s="1" t="str">
        <f t="shared" si="6"/>
        <v>High Discount</v>
      </c>
      <c r="H81">
        <v>1</v>
      </c>
      <c r="I81">
        <v>5</v>
      </c>
      <c r="J81" t="str">
        <f t="shared" si="7"/>
        <v>Excellent</v>
      </c>
    </row>
    <row r="82" spans="1:10" x14ac:dyDescent="0.35">
      <c r="A82" t="s">
        <v>109</v>
      </c>
      <c r="B82" s="2">
        <v>1460</v>
      </c>
      <c r="C82" s="2">
        <v>2290</v>
      </c>
      <c r="D82" s="2" t="str">
        <f t="shared" si="4"/>
        <v>Low Price</v>
      </c>
      <c r="E82" s="2">
        <f t="shared" si="5"/>
        <v>830</v>
      </c>
      <c r="F82" s="1">
        <v>0.36</v>
      </c>
      <c r="G82" s="1" t="str">
        <f t="shared" si="6"/>
        <v>Medium Discount</v>
      </c>
      <c r="H82" t="s">
        <v>38</v>
      </c>
      <c r="I82" t="s">
        <v>38</v>
      </c>
      <c r="J82" t="str">
        <f t="shared" si="7"/>
        <v>Unknown</v>
      </c>
    </row>
    <row r="83" spans="1:10" x14ac:dyDescent="0.35">
      <c r="A83" t="s">
        <v>110</v>
      </c>
      <c r="B83" s="2">
        <v>1666</v>
      </c>
      <c r="C83" s="2">
        <v>1699</v>
      </c>
      <c r="D83" s="2" t="str">
        <f t="shared" si="4"/>
        <v>Low Price</v>
      </c>
      <c r="E83" s="2">
        <f t="shared" si="5"/>
        <v>33</v>
      </c>
      <c r="F83" s="1">
        <v>0.02</v>
      </c>
      <c r="G83" s="1" t="str">
        <f t="shared" si="6"/>
        <v>Low Discount</v>
      </c>
      <c r="H83" t="s">
        <v>38</v>
      </c>
      <c r="I83" t="s">
        <v>38</v>
      </c>
      <c r="J83" t="str">
        <f t="shared" si="7"/>
        <v>Unknown</v>
      </c>
    </row>
    <row r="84" spans="1:10" x14ac:dyDescent="0.35">
      <c r="A84" t="s">
        <v>111</v>
      </c>
      <c r="B84" s="2">
        <v>330</v>
      </c>
      <c r="C84" s="2">
        <v>647</v>
      </c>
      <c r="D84" s="2" t="str">
        <f t="shared" si="4"/>
        <v>Low Price</v>
      </c>
      <c r="E84" s="2">
        <f t="shared" si="5"/>
        <v>317</v>
      </c>
      <c r="F84" s="1">
        <v>0.49</v>
      </c>
      <c r="G84" s="1" t="str">
        <f t="shared" si="6"/>
        <v>High Discount</v>
      </c>
      <c r="H84">
        <v>1</v>
      </c>
      <c r="I84">
        <v>4</v>
      </c>
      <c r="J84" t="str">
        <f t="shared" si="7"/>
        <v>Average</v>
      </c>
    </row>
    <row r="85" spans="1:10" x14ac:dyDescent="0.35">
      <c r="A85" t="s">
        <v>69</v>
      </c>
      <c r="B85" s="2">
        <v>176</v>
      </c>
      <c r="C85" s="2">
        <v>345</v>
      </c>
      <c r="D85" s="2" t="str">
        <f t="shared" si="4"/>
        <v>Low Price</v>
      </c>
      <c r="E85" s="2">
        <f t="shared" si="5"/>
        <v>169</v>
      </c>
      <c r="F85" s="1">
        <v>0.49</v>
      </c>
      <c r="G85" s="1" t="str">
        <f t="shared" si="6"/>
        <v>High Discount</v>
      </c>
      <c r="H85" t="s">
        <v>38</v>
      </c>
      <c r="I85" t="s">
        <v>38</v>
      </c>
      <c r="J85" t="str">
        <f t="shared" si="7"/>
        <v>Unknown</v>
      </c>
    </row>
    <row r="86" spans="1:10" x14ac:dyDescent="0.35">
      <c r="A86" t="s">
        <v>112</v>
      </c>
      <c r="B86" s="2">
        <v>1466</v>
      </c>
      <c r="C86" s="2">
        <v>1699</v>
      </c>
      <c r="D86" s="2" t="str">
        <f t="shared" si="4"/>
        <v>Low Price</v>
      </c>
      <c r="E86" s="2">
        <f t="shared" si="5"/>
        <v>233</v>
      </c>
      <c r="F86" s="1">
        <v>0.14000000000000001</v>
      </c>
      <c r="G86" s="1" t="str">
        <f t="shared" si="6"/>
        <v>Low Discount</v>
      </c>
      <c r="H86" t="s">
        <v>38</v>
      </c>
      <c r="I86" t="s">
        <v>38</v>
      </c>
      <c r="J86" t="str">
        <f t="shared" si="7"/>
        <v>Unknown</v>
      </c>
    </row>
    <row r="87" spans="1:10" x14ac:dyDescent="0.35">
      <c r="A87" t="s">
        <v>113</v>
      </c>
      <c r="B87" s="2">
        <v>274</v>
      </c>
      <c r="C87" s="2">
        <v>537</v>
      </c>
      <c r="D87" s="2" t="str">
        <f t="shared" si="4"/>
        <v>Low Price</v>
      </c>
      <c r="E87" s="2">
        <f t="shared" si="5"/>
        <v>263</v>
      </c>
      <c r="F87" s="1">
        <v>0.49</v>
      </c>
      <c r="G87" s="1" t="str">
        <f t="shared" si="6"/>
        <v>High Discount</v>
      </c>
      <c r="H87" t="s">
        <v>38</v>
      </c>
      <c r="I87" t="s">
        <v>38</v>
      </c>
      <c r="J87" t="str">
        <f t="shared" si="7"/>
        <v>Unknown</v>
      </c>
    </row>
    <row r="88" spans="1:10" x14ac:dyDescent="0.35">
      <c r="A88" t="s">
        <v>114</v>
      </c>
      <c r="B88" s="2">
        <v>799</v>
      </c>
      <c r="C88" s="2">
        <v>900</v>
      </c>
      <c r="D88" s="2" t="str">
        <f t="shared" si="4"/>
        <v>Low Price</v>
      </c>
      <c r="E88" s="2">
        <f t="shared" si="5"/>
        <v>101</v>
      </c>
      <c r="F88" s="1">
        <v>0.11</v>
      </c>
      <c r="G88" s="1" t="str">
        <f t="shared" si="6"/>
        <v>Low Discount</v>
      </c>
      <c r="H88" t="s">
        <v>38</v>
      </c>
      <c r="I88" t="s">
        <v>38</v>
      </c>
      <c r="J88" t="str">
        <f t="shared" si="7"/>
        <v>Unknown</v>
      </c>
    </row>
    <row r="89" spans="1:10" x14ac:dyDescent="0.35">
      <c r="A89" t="s">
        <v>77</v>
      </c>
      <c r="B89" s="2">
        <v>657</v>
      </c>
      <c r="C89" s="2">
        <v>1288</v>
      </c>
      <c r="D89" s="2" t="str">
        <f t="shared" si="4"/>
        <v>Low Price</v>
      </c>
      <c r="E89" s="2">
        <f t="shared" si="5"/>
        <v>631</v>
      </c>
      <c r="F89" s="1">
        <v>0.49</v>
      </c>
      <c r="G89" s="1" t="str">
        <f t="shared" si="6"/>
        <v>High Discount</v>
      </c>
      <c r="H89" t="s">
        <v>38</v>
      </c>
      <c r="I89" t="s">
        <v>38</v>
      </c>
      <c r="J89" t="str">
        <f t="shared" si="7"/>
        <v>Unknown</v>
      </c>
    </row>
    <row r="90" spans="1:10" x14ac:dyDescent="0.35">
      <c r="A90" t="s">
        <v>115</v>
      </c>
      <c r="B90" s="2">
        <v>1468</v>
      </c>
      <c r="C90" s="2">
        <v>1699</v>
      </c>
      <c r="D90" s="2" t="str">
        <f t="shared" si="4"/>
        <v>Low Price</v>
      </c>
      <c r="E90" s="2">
        <f t="shared" si="5"/>
        <v>231</v>
      </c>
      <c r="F90" s="1">
        <v>0.14000000000000001</v>
      </c>
      <c r="G90" s="1" t="str">
        <f t="shared" si="6"/>
        <v>Low Discount</v>
      </c>
      <c r="H90" t="s">
        <v>38</v>
      </c>
      <c r="I90" t="s">
        <v>38</v>
      </c>
      <c r="J90" t="str">
        <f t="shared" si="7"/>
        <v>Unknown</v>
      </c>
    </row>
    <row r="91" spans="1:10" x14ac:dyDescent="0.35">
      <c r="A91" t="s">
        <v>116</v>
      </c>
      <c r="B91" s="2">
        <v>630</v>
      </c>
      <c r="C91" s="2">
        <v>1100</v>
      </c>
      <c r="D91" s="2" t="str">
        <f t="shared" si="4"/>
        <v>Low Price</v>
      </c>
      <c r="E91" s="2">
        <f t="shared" si="5"/>
        <v>470</v>
      </c>
      <c r="F91" s="1">
        <v>0.43</v>
      </c>
      <c r="G91" s="1" t="str">
        <f t="shared" si="6"/>
        <v>High Discount</v>
      </c>
      <c r="H91" t="s">
        <v>38</v>
      </c>
      <c r="I91" t="s">
        <v>38</v>
      </c>
      <c r="J91" t="str">
        <f t="shared" si="7"/>
        <v>Unknown</v>
      </c>
    </row>
    <row r="92" spans="1:10" x14ac:dyDescent="0.35">
      <c r="A92" t="s">
        <v>117</v>
      </c>
      <c r="B92" s="2">
        <v>850</v>
      </c>
      <c r="C92" s="2">
        <v>1700</v>
      </c>
      <c r="D92" s="2" t="str">
        <f t="shared" si="4"/>
        <v>Low Price</v>
      </c>
      <c r="E92" s="2">
        <f t="shared" si="5"/>
        <v>850</v>
      </c>
      <c r="F92" s="1">
        <v>0.5</v>
      </c>
      <c r="G92" s="1" t="str">
        <f t="shared" si="6"/>
        <v>High Discount</v>
      </c>
      <c r="H92" t="s">
        <v>38</v>
      </c>
      <c r="I92" t="s">
        <v>38</v>
      </c>
      <c r="J92" t="str">
        <f t="shared" si="7"/>
        <v>Unknown</v>
      </c>
    </row>
    <row r="93" spans="1:10" x14ac:dyDescent="0.35">
      <c r="A93" t="s">
        <v>118</v>
      </c>
      <c r="B93" s="2">
        <v>1300</v>
      </c>
      <c r="C93" s="2">
        <v>2500</v>
      </c>
      <c r="D93" s="2" t="str">
        <f t="shared" si="4"/>
        <v>Low Price</v>
      </c>
      <c r="E93" s="2">
        <f t="shared" si="5"/>
        <v>1200</v>
      </c>
      <c r="F93" s="1">
        <v>0.48</v>
      </c>
      <c r="G93" s="1" t="str">
        <f t="shared" si="6"/>
        <v>High Discount</v>
      </c>
      <c r="H93" t="s">
        <v>38</v>
      </c>
      <c r="I93" t="s">
        <v>38</v>
      </c>
      <c r="J93" t="str">
        <f t="shared" si="7"/>
        <v>Unknown</v>
      </c>
    </row>
    <row r="94" spans="1:10" x14ac:dyDescent="0.35">
      <c r="A94" t="s">
        <v>119</v>
      </c>
      <c r="B94" s="2">
        <v>105</v>
      </c>
      <c r="C94" s="2">
        <v>200</v>
      </c>
      <c r="D94" s="2" t="str">
        <f t="shared" si="4"/>
        <v>Low Price</v>
      </c>
      <c r="E94" s="2">
        <f t="shared" si="5"/>
        <v>95</v>
      </c>
      <c r="F94" s="1">
        <v>0.48</v>
      </c>
      <c r="G94" s="1" t="str">
        <f t="shared" si="6"/>
        <v>High Discount</v>
      </c>
      <c r="H94" t="s">
        <v>38</v>
      </c>
      <c r="I94" t="s">
        <v>38</v>
      </c>
      <c r="J94" t="str">
        <f t="shared" si="7"/>
        <v>Unknown</v>
      </c>
    </row>
    <row r="95" spans="1:10" x14ac:dyDescent="0.35">
      <c r="A95" t="s">
        <v>120</v>
      </c>
      <c r="B95" s="2">
        <v>899</v>
      </c>
      <c r="C95" s="2">
        <v>1699</v>
      </c>
      <c r="D95" s="2" t="str">
        <f t="shared" si="4"/>
        <v>Low Price</v>
      </c>
      <c r="E95" s="2">
        <f t="shared" si="5"/>
        <v>800</v>
      </c>
      <c r="F95" s="1">
        <v>0.47</v>
      </c>
      <c r="G95" s="1" t="str">
        <f t="shared" si="6"/>
        <v>High Discount</v>
      </c>
      <c r="H95" t="s">
        <v>38</v>
      </c>
      <c r="I95" t="s">
        <v>38</v>
      </c>
      <c r="J95" t="str">
        <f t="shared" si="7"/>
        <v>Unknown</v>
      </c>
    </row>
    <row r="96" spans="1:10" x14ac:dyDescent="0.35">
      <c r="A96" t="s">
        <v>121</v>
      </c>
      <c r="B96" s="2">
        <v>1200</v>
      </c>
      <c r="C96" s="2">
        <v>2400</v>
      </c>
      <c r="D96" s="2" t="str">
        <f t="shared" si="4"/>
        <v>Low Price</v>
      </c>
      <c r="E96" s="2">
        <f t="shared" si="5"/>
        <v>1200</v>
      </c>
      <c r="F96" s="1">
        <v>0.5</v>
      </c>
      <c r="G96" s="1" t="str">
        <f t="shared" si="6"/>
        <v>High Discount</v>
      </c>
      <c r="H96" t="s">
        <v>38</v>
      </c>
      <c r="I96" t="s">
        <v>38</v>
      </c>
      <c r="J96" t="str">
        <f t="shared" si="7"/>
        <v>Unknown</v>
      </c>
    </row>
    <row r="97" spans="1:10" x14ac:dyDescent="0.35">
      <c r="A97" t="s">
        <v>122</v>
      </c>
      <c r="B97" s="2">
        <v>1526</v>
      </c>
      <c r="C97" s="2">
        <v>1660</v>
      </c>
      <c r="D97" s="2" t="str">
        <f t="shared" si="4"/>
        <v>Low Price</v>
      </c>
      <c r="E97" s="2">
        <f t="shared" si="5"/>
        <v>134</v>
      </c>
      <c r="F97" s="1">
        <v>0.08</v>
      </c>
      <c r="G97" s="1" t="str">
        <f t="shared" si="6"/>
        <v>Low Discount</v>
      </c>
      <c r="H97" t="s">
        <v>38</v>
      </c>
      <c r="I97" t="s">
        <v>38</v>
      </c>
      <c r="J97" t="str">
        <f t="shared" si="7"/>
        <v>Unknown</v>
      </c>
    </row>
    <row r="98" spans="1:10" x14ac:dyDescent="0.35">
      <c r="A98" t="s">
        <v>123</v>
      </c>
      <c r="B98" s="2">
        <v>1462</v>
      </c>
      <c r="C98" s="2">
        <v>1499</v>
      </c>
      <c r="D98" s="2" t="str">
        <f t="shared" si="4"/>
        <v>Low Price</v>
      </c>
      <c r="E98" s="2">
        <f t="shared" si="5"/>
        <v>37</v>
      </c>
      <c r="F98" s="1">
        <v>0.02</v>
      </c>
      <c r="G98" s="1" t="str">
        <f t="shared" si="6"/>
        <v>Low Discount</v>
      </c>
      <c r="H98" t="s">
        <v>38</v>
      </c>
      <c r="I98" t="s">
        <v>38</v>
      </c>
      <c r="J98" t="str">
        <f t="shared" si="7"/>
        <v>Unknown</v>
      </c>
    </row>
    <row r="99" spans="1:10" x14ac:dyDescent="0.35">
      <c r="A99" t="s">
        <v>124</v>
      </c>
      <c r="B99" s="2">
        <v>248</v>
      </c>
      <c r="C99" s="2">
        <v>486</v>
      </c>
      <c r="D99" s="2" t="str">
        <f t="shared" si="4"/>
        <v>Low Price</v>
      </c>
      <c r="E99" s="2">
        <f t="shared" si="5"/>
        <v>238</v>
      </c>
      <c r="F99" s="1">
        <v>0.49</v>
      </c>
      <c r="G99" s="1" t="str">
        <f t="shared" si="6"/>
        <v>High Discount</v>
      </c>
      <c r="H99" t="s">
        <v>38</v>
      </c>
      <c r="I99" t="s">
        <v>38</v>
      </c>
      <c r="J99" t="str">
        <f t="shared" si="7"/>
        <v>Unknown</v>
      </c>
    </row>
    <row r="100" spans="1:10" x14ac:dyDescent="0.35">
      <c r="A100" t="s">
        <v>125</v>
      </c>
      <c r="B100" s="2">
        <v>3546</v>
      </c>
      <c r="C100" s="2">
        <v>3699</v>
      </c>
      <c r="D100" s="2" t="str">
        <f t="shared" si="4"/>
        <v>High Price</v>
      </c>
      <c r="E100" s="2">
        <f t="shared" si="5"/>
        <v>153</v>
      </c>
      <c r="F100" s="1">
        <v>0.04</v>
      </c>
      <c r="G100" s="1" t="str">
        <f t="shared" si="6"/>
        <v>Low Discount</v>
      </c>
      <c r="H100" t="s">
        <v>38</v>
      </c>
      <c r="I100" t="s">
        <v>38</v>
      </c>
      <c r="J100" t="str">
        <f t="shared" si="7"/>
        <v>Unknown</v>
      </c>
    </row>
    <row r="101" spans="1:10" x14ac:dyDescent="0.35">
      <c r="A101" t="s">
        <v>126</v>
      </c>
      <c r="B101" s="2">
        <v>525</v>
      </c>
      <c r="C101" s="2">
        <v>1029</v>
      </c>
      <c r="D101" s="2" t="str">
        <f t="shared" si="4"/>
        <v>Low Price</v>
      </c>
      <c r="E101" s="2">
        <f t="shared" si="5"/>
        <v>504</v>
      </c>
      <c r="F101" s="1">
        <v>0.49</v>
      </c>
      <c r="G101" s="1" t="str">
        <f t="shared" si="6"/>
        <v>High Discount</v>
      </c>
      <c r="H101" t="s">
        <v>38</v>
      </c>
      <c r="I101" t="s">
        <v>38</v>
      </c>
      <c r="J101" t="str">
        <f t="shared" si="7"/>
        <v>Unknown</v>
      </c>
    </row>
    <row r="102" spans="1:10" x14ac:dyDescent="0.35">
      <c r="A102" t="s">
        <v>127</v>
      </c>
      <c r="B102" s="2">
        <v>1080</v>
      </c>
      <c r="C102" s="2">
        <v>1874</v>
      </c>
      <c r="D102" s="2" t="str">
        <f t="shared" si="4"/>
        <v>Low Price</v>
      </c>
      <c r="E102" s="2">
        <f t="shared" si="5"/>
        <v>794</v>
      </c>
      <c r="F102" s="1">
        <v>0.42</v>
      </c>
      <c r="G102" s="1" t="str">
        <f t="shared" si="6"/>
        <v>High Discount</v>
      </c>
      <c r="H102" t="s">
        <v>38</v>
      </c>
      <c r="I102" t="s">
        <v>38</v>
      </c>
      <c r="J102" t="str">
        <f t="shared" si="7"/>
        <v>Unknown</v>
      </c>
    </row>
    <row r="103" spans="1:10" x14ac:dyDescent="0.35">
      <c r="A103" t="s">
        <v>128</v>
      </c>
      <c r="B103" s="2">
        <v>3640</v>
      </c>
      <c r="C103" s="2">
        <v>4588</v>
      </c>
      <c r="D103" s="2" t="str">
        <f t="shared" si="4"/>
        <v>High Price</v>
      </c>
      <c r="E103" s="2">
        <f t="shared" si="5"/>
        <v>948</v>
      </c>
      <c r="F103" s="1">
        <v>0.21</v>
      </c>
      <c r="G103" s="1" t="str">
        <f t="shared" si="6"/>
        <v>Medium Discount</v>
      </c>
      <c r="H103">
        <v>1</v>
      </c>
      <c r="I103">
        <v>5</v>
      </c>
      <c r="J103" t="str">
        <f t="shared" si="7"/>
        <v>Excellent</v>
      </c>
    </row>
    <row r="104" spans="1:10" x14ac:dyDescent="0.35">
      <c r="A104" t="s">
        <v>129</v>
      </c>
      <c r="B104" s="2">
        <v>1420</v>
      </c>
      <c r="C104" s="2">
        <v>2420</v>
      </c>
      <c r="D104" s="2" t="str">
        <f t="shared" si="4"/>
        <v>Low Price</v>
      </c>
      <c r="E104" s="2">
        <f t="shared" si="5"/>
        <v>1000</v>
      </c>
      <c r="F104" s="1">
        <v>0.41</v>
      </c>
      <c r="G104" s="1" t="str">
        <f t="shared" si="6"/>
        <v>High Discount</v>
      </c>
      <c r="H104" t="s">
        <v>38</v>
      </c>
      <c r="I104" t="s">
        <v>38</v>
      </c>
      <c r="J104" t="str">
        <f t="shared" si="7"/>
        <v>Unknown</v>
      </c>
    </row>
    <row r="105" spans="1:10" x14ac:dyDescent="0.35">
      <c r="A105" t="s">
        <v>130</v>
      </c>
      <c r="B105" s="2">
        <v>1875</v>
      </c>
      <c r="C105" s="2">
        <v>1899</v>
      </c>
      <c r="D105" s="2" t="str">
        <f t="shared" si="4"/>
        <v>Low Price</v>
      </c>
      <c r="E105" s="2">
        <f t="shared" si="5"/>
        <v>24</v>
      </c>
      <c r="F105" s="1">
        <v>0.01</v>
      </c>
      <c r="G105" s="1" t="str">
        <f t="shared" si="6"/>
        <v>Low Discount</v>
      </c>
      <c r="H105" t="s">
        <v>38</v>
      </c>
      <c r="I105" t="s">
        <v>38</v>
      </c>
      <c r="J105" t="str">
        <f t="shared" si="7"/>
        <v>Unknown</v>
      </c>
    </row>
    <row r="106" spans="1:10" x14ac:dyDescent="0.35">
      <c r="A106" t="s">
        <v>131</v>
      </c>
      <c r="B106" s="2">
        <v>198</v>
      </c>
      <c r="C106" s="2">
        <v>260</v>
      </c>
      <c r="D106" s="2" t="str">
        <f t="shared" si="4"/>
        <v>Low Price</v>
      </c>
      <c r="E106" s="2">
        <f t="shared" si="5"/>
        <v>62</v>
      </c>
      <c r="F106" s="1">
        <v>0.24</v>
      </c>
      <c r="G106" s="1" t="str">
        <f t="shared" si="6"/>
        <v>Medium Discount</v>
      </c>
      <c r="H106" t="s">
        <v>38</v>
      </c>
      <c r="I106" t="s">
        <v>38</v>
      </c>
      <c r="J106" t="str">
        <f t="shared" si="7"/>
        <v>Unknown</v>
      </c>
    </row>
    <row r="107" spans="1:10" x14ac:dyDescent="0.35">
      <c r="A107" t="s">
        <v>132</v>
      </c>
      <c r="B107" s="2">
        <v>1150</v>
      </c>
      <c r="C107" s="2">
        <v>1737</v>
      </c>
      <c r="D107" s="2" t="str">
        <f t="shared" si="4"/>
        <v>Low Price</v>
      </c>
      <c r="E107" s="2">
        <f t="shared" si="5"/>
        <v>587</v>
      </c>
      <c r="F107" s="1">
        <v>0.34</v>
      </c>
      <c r="G107" s="1" t="str">
        <f t="shared" si="6"/>
        <v>Medium Discount</v>
      </c>
      <c r="H107" t="s">
        <v>38</v>
      </c>
      <c r="I107" t="s">
        <v>38</v>
      </c>
      <c r="J107" t="str">
        <f t="shared" si="7"/>
        <v>Unknown</v>
      </c>
    </row>
    <row r="108" spans="1:10" x14ac:dyDescent="0.35">
      <c r="A108" t="s">
        <v>133</v>
      </c>
      <c r="B108" s="2">
        <v>1190</v>
      </c>
      <c r="C108" s="2">
        <v>1810</v>
      </c>
      <c r="D108" s="2" t="str">
        <f t="shared" si="4"/>
        <v>Low Price</v>
      </c>
      <c r="E108" s="2">
        <f t="shared" si="5"/>
        <v>620</v>
      </c>
      <c r="F108" s="1">
        <v>0.34</v>
      </c>
      <c r="G108" s="1" t="str">
        <f t="shared" si="6"/>
        <v>Medium Discount</v>
      </c>
      <c r="H108" t="s">
        <v>38</v>
      </c>
      <c r="I108" t="s">
        <v>38</v>
      </c>
      <c r="J108" t="str">
        <f t="shared" si="7"/>
        <v>Unknown</v>
      </c>
    </row>
    <row r="109" spans="1:10" x14ac:dyDescent="0.35">
      <c r="A109" t="s">
        <v>134</v>
      </c>
      <c r="B109" s="2">
        <v>1658</v>
      </c>
      <c r="C109" s="2">
        <v>1699</v>
      </c>
      <c r="D109" s="2" t="str">
        <f t="shared" si="4"/>
        <v>Low Price</v>
      </c>
      <c r="E109" s="2">
        <f t="shared" si="5"/>
        <v>41</v>
      </c>
      <c r="F109" s="1">
        <v>0.02</v>
      </c>
      <c r="G109" s="1" t="str">
        <f t="shared" si="6"/>
        <v>Low Discount</v>
      </c>
      <c r="H109" t="s">
        <v>38</v>
      </c>
      <c r="I109" t="s">
        <v>38</v>
      </c>
      <c r="J109" t="str">
        <f t="shared" si="7"/>
        <v>Unknown</v>
      </c>
    </row>
    <row r="110" spans="1:10" x14ac:dyDescent="0.35">
      <c r="A110" t="s">
        <v>135</v>
      </c>
      <c r="B110" s="2">
        <v>1768</v>
      </c>
      <c r="C110" s="2">
        <v>1799</v>
      </c>
      <c r="D110" s="2" t="str">
        <f t="shared" si="4"/>
        <v>Low Price</v>
      </c>
      <c r="E110" s="2">
        <f t="shared" si="5"/>
        <v>31</v>
      </c>
      <c r="F110" s="1">
        <v>0.02</v>
      </c>
      <c r="G110" s="1" t="str">
        <f t="shared" si="6"/>
        <v>Low Discount</v>
      </c>
      <c r="H110" t="s">
        <v>38</v>
      </c>
      <c r="I110" t="s">
        <v>38</v>
      </c>
      <c r="J110" t="str">
        <f t="shared" si="7"/>
        <v>Unknown</v>
      </c>
    </row>
    <row r="111" spans="1:10" x14ac:dyDescent="0.35">
      <c r="A111" t="s">
        <v>136</v>
      </c>
      <c r="B111" s="2">
        <v>199</v>
      </c>
      <c r="C111" s="2">
        <v>553</v>
      </c>
      <c r="D111" s="2" t="str">
        <f t="shared" si="4"/>
        <v>Low Price</v>
      </c>
      <c r="E111" s="2">
        <f t="shared" si="5"/>
        <v>354</v>
      </c>
      <c r="F111" s="1">
        <v>0.64</v>
      </c>
      <c r="G111" s="1" t="str">
        <f t="shared" si="6"/>
        <v>High Discount</v>
      </c>
      <c r="H111" t="s">
        <v>38</v>
      </c>
      <c r="I111" t="s">
        <v>38</v>
      </c>
      <c r="J111" t="str">
        <f t="shared" si="7"/>
        <v>Unknown</v>
      </c>
    </row>
    <row r="112" spans="1:10" x14ac:dyDescent="0.35">
      <c r="A112" t="s">
        <v>137</v>
      </c>
      <c r="B112" s="2">
        <v>450</v>
      </c>
      <c r="C112" s="2">
        <v>900</v>
      </c>
      <c r="D112" s="2" t="str">
        <f t="shared" si="4"/>
        <v>Low Price</v>
      </c>
      <c r="E112" s="2">
        <f t="shared" si="5"/>
        <v>450</v>
      </c>
      <c r="F112" s="1">
        <v>0.5</v>
      </c>
      <c r="G112" s="1" t="str">
        <f t="shared" si="6"/>
        <v>High Discount</v>
      </c>
      <c r="H112">
        <v>1</v>
      </c>
      <c r="I112">
        <v>2</v>
      </c>
      <c r="J112" t="str">
        <f t="shared" si="7"/>
        <v>Poor</v>
      </c>
    </row>
    <row r="113" spans="1:10" x14ac:dyDescent="0.35">
      <c r="A113" t="s">
        <v>139</v>
      </c>
      <c r="B113" s="2">
        <v>169</v>
      </c>
      <c r="C113" s="2">
        <v>320</v>
      </c>
      <c r="D113" s="2" t="str">
        <f t="shared" si="4"/>
        <v>Low Price</v>
      </c>
      <c r="E113" s="2">
        <f t="shared" si="5"/>
        <v>151</v>
      </c>
      <c r="F113" s="1">
        <v>0.47</v>
      </c>
      <c r="G113" s="1" t="str">
        <f t="shared" si="6"/>
        <v>High Discount</v>
      </c>
      <c r="H113" t="s">
        <v>38</v>
      </c>
      <c r="I113" t="s">
        <v>38</v>
      </c>
      <c r="J113" t="str">
        <f t="shared" si="7"/>
        <v>Unknown</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0FB97-773C-483A-9076-78C30A26522D}">
  <dimension ref="A1:J129"/>
  <sheetViews>
    <sheetView topLeftCell="A115" workbookViewId="0">
      <selection activeCell="B124" sqref="B124"/>
    </sheetView>
  </sheetViews>
  <sheetFormatPr defaultRowHeight="14.5" x14ac:dyDescent="0.35"/>
  <cols>
    <col min="1" max="1" width="89.1796875" bestFit="1" customWidth="1"/>
    <col min="2" max="2" width="12.90625" style="2" bestFit="1" customWidth="1"/>
    <col min="3" max="3" width="9" style="2" bestFit="1" customWidth="1"/>
    <col min="4" max="4" width="14" style="2" bestFit="1" customWidth="1"/>
    <col min="5" max="5" width="16.81640625" style="2" bestFit="1" customWidth="1"/>
    <col min="6" max="6" width="8.81640625" bestFit="1" customWidth="1"/>
    <col min="7" max="7" width="17.54296875" bestFit="1" customWidth="1"/>
    <col min="8" max="8" width="7.453125" bestFit="1" customWidth="1"/>
    <col min="9" max="9" width="6.6328125" bestFit="1" customWidth="1"/>
    <col min="10" max="10" width="15.26953125" bestFit="1" customWidth="1"/>
  </cols>
  <sheetData>
    <row r="1" spans="1:10" s="5" customFormat="1" ht="15.5" x14ac:dyDescent="0.35">
      <c r="A1" s="5" t="s">
        <v>0</v>
      </c>
      <c r="B1" s="6" t="s">
        <v>1</v>
      </c>
      <c r="C1" s="6" t="s">
        <v>2</v>
      </c>
      <c r="D1" s="6" t="s">
        <v>140</v>
      </c>
      <c r="E1" s="6" t="s">
        <v>142</v>
      </c>
      <c r="F1" s="5" t="s">
        <v>3</v>
      </c>
      <c r="G1" s="6" t="s">
        <v>141</v>
      </c>
      <c r="H1" s="5" t="s">
        <v>4</v>
      </c>
      <c r="I1" s="5" t="s">
        <v>5</v>
      </c>
      <c r="J1" s="5" t="s">
        <v>143</v>
      </c>
    </row>
    <row r="2" spans="1:10" x14ac:dyDescent="0.35">
      <c r="A2" t="s">
        <v>151</v>
      </c>
      <c r="B2" s="3">
        <v>950</v>
      </c>
      <c r="C2" s="3">
        <v>1525</v>
      </c>
      <c r="D2" s="2" t="str">
        <f>IF(B2&gt;3000,"High Price",IF(B2&gt;=2000,"Medium Price","Low Price"))</f>
        <v>Low Price</v>
      </c>
      <c r="E2" s="2">
        <f>C2-B2</f>
        <v>575</v>
      </c>
      <c r="F2" s="1">
        <v>0.38</v>
      </c>
      <c r="G2" s="1" t="str">
        <f>IF(F2&lt;20%,"Low Discount",IF(F2&lt;=40%,"Medium Discount","High Discount"))</f>
        <v>Medium Discount</v>
      </c>
      <c r="H2">
        <v>2</v>
      </c>
      <c r="I2">
        <v>4.5</v>
      </c>
      <c r="J2" t="str">
        <f>IF(I2="Unknown","Unknown",IF(I2&lt;3,"Poor",IF(I2&lt;=4.5,"Average","Excellent")))</f>
        <v>Average</v>
      </c>
    </row>
    <row r="3" spans="1:10" x14ac:dyDescent="0.35">
      <c r="A3" t="s">
        <v>8</v>
      </c>
      <c r="B3" s="3">
        <v>527</v>
      </c>
      <c r="C3" s="3">
        <v>999</v>
      </c>
      <c r="D3" s="2" t="str">
        <f t="shared" ref="D3:D66" si="0">IF(B3&gt;3000,"High Price",IF(B3&gt;=2000,"Medium Price","Low Price"))</f>
        <v>Low Price</v>
      </c>
      <c r="E3" s="2">
        <f t="shared" ref="E3:E66" si="1">C3-B3</f>
        <v>472</v>
      </c>
      <c r="F3" s="1">
        <v>0.47</v>
      </c>
      <c r="G3" s="1" t="str">
        <f t="shared" ref="G3:G66" si="2">IF(F3&lt;20%,"Low Discount",IF(F3&lt;=40%,"Medium Discount","High Discount"))</f>
        <v>High Discount</v>
      </c>
      <c r="H3">
        <v>14</v>
      </c>
      <c r="I3">
        <v>4.0999999999999996</v>
      </c>
      <c r="J3" t="str">
        <f t="shared" ref="J3:J66" si="3">IF(I3="Unknown","Unknown",IF(I3&lt;3,"Poor",IF(I3&lt;=4.5,"Average","Excellent")))</f>
        <v>Average</v>
      </c>
    </row>
    <row r="4" spans="1:10" x14ac:dyDescent="0.35">
      <c r="A4" t="s">
        <v>10</v>
      </c>
      <c r="B4" s="3">
        <v>2199</v>
      </c>
      <c r="C4" s="3">
        <v>2923</v>
      </c>
      <c r="D4" s="2" t="str">
        <f t="shared" si="0"/>
        <v>Medium Price</v>
      </c>
      <c r="E4" s="2">
        <f t="shared" si="1"/>
        <v>724</v>
      </c>
      <c r="F4" s="1">
        <v>0.25</v>
      </c>
      <c r="G4" s="1" t="str">
        <f t="shared" si="2"/>
        <v>Medium Discount</v>
      </c>
      <c r="H4">
        <v>24</v>
      </c>
      <c r="I4">
        <v>4.5999999999999996</v>
      </c>
      <c r="J4" t="str">
        <f t="shared" si="3"/>
        <v>Excellent</v>
      </c>
    </row>
    <row r="5" spans="1:10" x14ac:dyDescent="0.35">
      <c r="A5" t="s">
        <v>12</v>
      </c>
      <c r="B5" s="3">
        <v>1580</v>
      </c>
      <c r="C5" s="3">
        <v>2499</v>
      </c>
      <c r="D5" s="2" t="str">
        <f t="shared" si="0"/>
        <v>Low Price</v>
      </c>
      <c r="E5" s="2">
        <f t="shared" si="1"/>
        <v>919</v>
      </c>
      <c r="F5" s="1">
        <v>0.37</v>
      </c>
      <c r="G5" s="1" t="str">
        <f t="shared" si="2"/>
        <v>Medium Discount</v>
      </c>
      <c r="H5">
        <v>7</v>
      </c>
      <c r="I5">
        <v>4.7</v>
      </c>
      <c r="J5" t="str">
        <f t="shared" si="3"/>
        <v>Excellent</v>
      </c>
    </row>
    <row r="6" spans="1:10" x14ac:dyDescent="0.35">
      <c r="A6" t="s">
        <v>14</v>
      </c>
      <c r="B6" s="3">
        <v>1740</v>
      </c>
      <c r="C6" s="3">
        <v>2356</v>
      </c>
      <c r="D6" s="2" t="str">
        <f t="shared" si="0"/>
        <v>Low Price</v>
      </c>
      <c r="E6" s="2">
        <f t="shared" si="1"/>
        <v>616</v>
      </c>
      <c r="F6" s="1">
        <v>0.26</v>
      </c>
      <c r="G6" s="1" t="str">
        <f t="shared" si="2"/>
        <v>Medium Discount</v>
      </c>
      <c r="H6">
        <v>5</v>
      </c>
      <c r="I6">
        <v>4.8</v>
      </c>
      <c r="J6" t="str">
        <f t="shared" si="3"/>
        <v>Excellent</v>
      </c>
    </row>
    <row r="7" spans="1:10" x14ac:dyDescent="0.35">
      <c r="A7" t="s">
        <v>16</v>
      </c>
      <c r="B7" s="3">
        <v>2999</v>
      </c>
      <c r="C7" s="3">
        <v>3290</v>
      </c>
      <c r="D7" s="2" t="str">
        <f t="shared" si="0"/>
        <v>Medium Price</v>
      </c>
      <c r="E7" s="2">
        <f t="shared" si="1"/>
        <v>291</v>
      </c>
      <c r="F7" s="1">
        <v>0.09</v>
      </c>
      <c r="G7" s="1" t="str">
        <f t="shared" si="2"/>
        <v>Low Discount</v>
      </c>
      <c r="H7">
        <v>15</v>
      </c>
      <c r="I7">
        <v>4</v>
      </c>
      <c r="J7" t="str">
        <f t="shared" si="3"/>
        <v>Average</v>
      </c>
    </row>
    <row r="8" spans="1:10" x14ac:dyDescent="0.35">
      <c r="A8" t="s">
        <v>18</v>
      </c>
      <c r="B8" s="3">
        <v>2319</v>
      </c>
      <c r="C8" s="3">
        <v>3032</v>
      </c>
      <c r="D8" s="2" t="str">
        <f t="shared" si="0"/>
        <v>Medium Price</v>
      </c>
      <c r="E8" s="2">
        <f t="shared" si="1"/>
        <v>713</v>
      </c>
      <c r="F8" s="1">
        <v>0.24</v>
      </c>
      <c r="G8" s="1" t="str">
        <f t="shared" si="2"/>
        <v>Medium Discount</v>
      </c>
      <c r="H8">
        <v>55</v>
      </c>
      <c r="I8">
        <v>4.5999999999999996</v>
      </c>
      <c r="J8" t="str">
        <f t="shared" si="3"/>
        <v>Excellent</v>
      </c>
    </row>
    <row r="9" spans="1:10" x14ac:dyDescent="0.35">
      <c r="A9" t="s">
        <v>19</v>
      </c>
      <c r="B9" s="3">
        <v>988</v>
      </c>
      <c r="C9" s="3">
        <v>1580</v>
      </c>
      <c r="D9" s="2" t="str">
        <f t="shared" si="0"/>
        <v>Low Price</v>
      </c>
      <c r="E9" s="2">
        <f t="shared" si="1"/>
        <v>592</v>
      </c>
      <c r="F9" s="1">
        <v>0.37</v>
      </c>
      <c r="G9" s="1" t="str">
        <f t="shared" si="2"/>
        <v>Medium Discount</v>
      </c>
      <c r="H9">
        <v>2</v>
      </c>
      <c r="I9">
        <v>4</v>
      </c>
      <c r="J9" t="str">
        <f t="shared" si="3"/>
        <v>Average</v>
      </c>
    </row>
    <row r="10" spans="1:10" x14ac:dyDescent="0.35">
      <c r="A10" t="s">
        <v>20</v>
      </c>
      <c r="B10" s="3">
        <v>1274</v>
      </c>
      <c r="C10" s="3">
        <v>2800</v>
      </c>
      <c r="D10" s="2" t="str">
        <f t="shared" si="0"/>
        <v>Low Price</v>
      </c>
      <c r="E10" s="2">
        <f t="shared" si="1"/>
        <v>1526</v>
      </c>
      <c r="F10" s="1">
        <v>0.55000000000000004</v>
      </c>
      <c r="G10" s="1" t="str">
        <f t="shared" si="2"/>
        <v>High Discount</v>
      </c>
      <c r="H10">
        <v>5</v>
      </c>
      <c r="I10">
        <v>4.8</v>
      </c>
      <c r="J10" t="str">
        <f t="shared" si="3"/>
        <v>Excellent</v>
      </c>
    </row>
    <row r="11" spans="1:10" x14ac:dyDescent="0.35">
      <c r="A11" t="s">
        <v>21</v>
      </c>
      <c r="B11" s="3">
        <v>1600</v>
      </c>
      <c r="C11" s="3">
        <v>2929</v>
      </c>
      <c r="D11" s="2" t="str">
        <f t="shared" si="0"/>
        <v>Low Price</v>
      </c>
      <c r="E11" s="2">
        <f t="shared" si="1"/>
        <v>1329</v>
      </c>
      <c r="F11" s="1">
        <v>0.45</v>
      </c>
      <c r="G11" s="1" t="str">
        <f t="shared" si="2"/>
        <v>High Discount</v>
      </c>
      <c r="H11">
        <v>5</v>
      </c>
      <c r="I11">
        <v>3.8</v>
      </c>
      <c r="J11" t="str">
        <f t="shared" si="3"/>
        <v>Average</v>
      </c>
    </row>
    <row r="12" spans="1:10" x14ac:dyDescent="0.35">
      <c r="A12" t="s">
        <v>23</v>
      </c>
      <c r="B12" s="3">
        <v>799</v>
      </c>
      <c r="C12" s="3">
        <v>999</v>
      </c>
      <c r="D12" s="2" t="str">
        <f t="shared" si="0"/>
        <v>Low Price</v>
      </c>
      <c r="E12" s="2">
        <f t="shared" si="1"/>
        <v>200</v>
      </c>
      <c r="F12" s="1">
        <v>0.2</v>
      </c>
      <c r="G12" s="1" t="str">
        <f t="shared" si="2"/>
        <v>Medium Discount</v>
      </c>
      <c r="H12">
        <v>12</v>
      </c>
      <c r="I12">
        <v>4.0999999999999996</v>
      </c>
      <c r="J12" t="str">
        <f t="shared" si="3"/>
        <v>Average</v>
      </c>
    </row>
    <row r="13" spans="1:10" x14ac:dyDescent="0.35">
      <c r="A13" t="s">
        <v>24</v>
      </c>
      <c r="B13" s="3">
        <v>990</v>
      </c>
      <c r="C13" s="3">
        <v>1500</v>
      </c>
      <c r="D13" s="2" t="str">
        <f t="shared" si="0"/>
        <v>Low Price</v>
      </c>
      <c r="E13" s="2">
        <f t="shared" si="1"/>
        <v>510</v>
      </c>
      <c r="F13" s="1">
        <v>0.34</v>
      </c>
      <c r="G13" s="1" t="str">
        <f t="shared" si="2"/>
        <v>Medium Discount</v>
      </c>
      <c r="H13">
        <v>39</v>
      </c>
      <c r="I13">
        <v>4.7</v>
      </c>
      <c r="J13" t="str">
        <f t="shared" si="3"/>
        <v>Excellent</v>
      </c>
    </row>
    <row r="14" spans="1:10" x14ac:dyDescent="0.35">
      <c r="A14" t="s">
        <v>25</v>
      </c>
      <c r="B14" s="3">
        <v>552</v>
      </c>
      <c r="C14" s="3">
        <v>1035</v>
      </c>
      <c r="D14" s="2" t="str">
        <f t="shared" si="0"/>
        <v>Low Price</v>
      </c>
      <c r="E14" s="2">
        <f t="shared" si="1"/>
        <v>483</v>
      </c>
      <c r="F14" s="1">
        <v>0.47</v>
      </c>
      <c r="G14" s="1" t="str">
        <f t="shared" si="2"/>
        <v>High Discount</v>
      </c>
      <c r="H14">
        <v>12</v>
      </c>
      <c r="I14">
        <v>4.8</v>
      </c>
      <c r="J14" t="str">
        <f t="shared" si="3"/>
        <v>Excellent</v>
      </c>
    </row>
    <row r="15" spans="1:10" x14ac:dyDescent="0.35">
      <c r="A15" t="s">
        <v>26</v>
      </c>
      <c r="B15" s="3">
        <v>501</v>
      </c>
      <c r="C15" s="3">
        <v>860</v>
      </c>
      <c r="D15" s="2" t="str">
        <f t="shared" si="0"/>
        <v>Low Price</v>
      </c>
      <c r="E15" s="2">
        <f t="shared" si="1"/>
        <v>359</v>
      </c>
      <c r="F15" s="1">
        <v>0.42</v>
      </c>
      <c r="G15" s="1" t="str">
        <f t="shared" si="2"/>
        <v>High Discount</v>
      </c>
      <c r="H15">
        <v>6</v>
      </c>
      <c r="I15">
        <v>4.5</v>
      </c>
      <c r="J15" t="str">
        <f t="shared" si="3"/>
        <v>Average</v>
      </c>
    </row>
    <row r="16" spans="1:10" x14ac:dyDescent="0.35">
      <c r="A16" t="s">
        <v>27</v>
      </c>
      <c r="B16" s="3">
        <v>1680</v>
      </c>
      <c r="C16" s="3">
        <v>2499</v>
      </c>
      <c r="D16" s="2" t="str">
        <f t="shared" si="0"/>
        <v>Low Price</v>
      </c>
      <c r="E16" s="2">
        <f t="shared" si="1"/>
        <v>819</v>
      </c>
      <c r="F16" s="1">
        <v>0.33</v>
      </c>
      <c r="G16" s="1" t="str">
        <f t="shared" si="2"/>
        <v>Medium Discount</v>
      </c>
      <c r="H16">
        <v>9</v>
      </c>
      <c r="I16">
        <v>4.2</v>
      </c>
      <c r="J16" t="str">
        <f t="shared" si="3"/>
        <v>Average</v>
      </c>
    </row>
    <row r="17" spans="1:10" x14ac:dyDescent="0.35">
      <c r="A17" t="s">
        <v>29</v>
      </c>
      <c r="B17" s="3">
        <v>332</v>
      </c>
      <c r="C17" s="3">
        <v>684</v>
      </c>
      <c r="D17" s="2" t="str">
        <f t="shared" si="0"/>
        <v>Low Price</v>
      </c>
      <c r="E17" s="2">
        <f t="shared" si="1"/>
        <v>352</v>
      </c>
      <c r="F17" s="1">
        <v>0.51</v>
      </c>
      <c r="G17" s="1" t="str">
        <f t="shared" si="2"/>
        <v>High Discount</v>
      </c>
      <c r="H17">
        <v>2</v>
      </c>
      <c r="I17">
        <v>5</v>
      </c>
      <c r="J17" t="str">
        <f t="shared" si="3"/>
        <v>Excellent</v>
      </c>
    </row>
    <row r="18" spans="1:10" x14ac:dyDescent="0.35">
      <c r="A18" t="s">
        <v>31</v>
      </c>
      <c r="B18" s="3">
        <v>195</v>
      </c>
      <c r="C18" s="3">
        <v>360</v>
      </c>
      <c r="D18" s="2" t="str">
        <f t="shared" si="0"/>
        <v>Low Price</v>
      </c>
      <c r="E18" s="2">
        <f t="shared" si="1"/>
        <v>165</v>
      </c>
      <c r="F18" s="1">
        <v>0.46</v>
      </c>
      <c r="G18" s="1" t="str">
        <f t="shared" si="2"/>
        <v>High Discount</v>
      </c>
      <c r="H18">
        <v>2</v>
      </c>
      <c r="I18">
        <v>5</v>
      </c>
      <c r="J18" t="str">
        <f t="shared" si="3"/>
        <v>Excellent</v>
      </c>
    </row>
    <row r="19" spans="1:10" x14ac:dyDescent="0.35">
      <c r="A19" t="s">
        <v>32</v>
      </c>
      <c r="B19" s="3">
        <v>2025</v>
      </c>
      <c r="C19" s="3">
        <v>3971</v>
      </c>
      <c r="D19" s="2" t="str">
        <f t="shared" si="0"/>
        <v>Medium Price</v>
      </c>
      <c r="E19" s="2">
        <f t="shared" si="1"/>
        <v>1946</v>
      </c>
      <c r="F19" s="1">
        <v>0.49</v>
      </c>
      <c r="G19" s="1" t="str">
        <f t="shared" si="2"/>
        <v>High Discount</v>
      </c>
      <c r="H19">
        <v>3</v>
      </c>
      <c r="I19">
        <v>5</v>
      </c>
      <c r="J19" t="str">
        <f t="shared" si="3"/>
        <v>Excellent</v>
      </c>
    </row>
    <row r="20" spans="1:10" x14ac:dyDescent="0.35">
      <c r="A20" t="s">
        <v>33</v>
      </c>
      <c r="B20" s="3">
        <v>2999</v>
      </c>
      <c r="C20" s="3">
        <v>3699</v>
      </c>
      <c r="D20" s="2" t="str">
        <f t="shared" si="0"/>
        <v>Medium Price</v>
      </c>
      <c r="E20" s="2">
        <f t="shared" si="1"/>
        <v>700</v>
      </c>
      <c r="F20" s="1">
        <v>0.19</v>
      </c>
      <c r="G20" s="1" t="str">
        <f t="shared" si="2"/>
        <v>Low Discount</v>
      </c>
      <c r="H20">
        <v>5</v>
      </c>
      <c r="I20">
        <v>4.5999999999999996</v>
      </c>
      <c r="J20" t="str">
        <f t="shared" si="3"/>
        <v>Excellent</v>
      </c>
    </row>
    <row r="21" spans="1:10" x14ac:dyDescent="0.35">
      <c r="A21" t="s">
        <v>34</v>
      </c>
      <c r="B21" s="3">
        <v>998</v>
      </c>
      <c r="C21" s="3">
        <v>1966</v>
      </c>
      <c r="D21" s="2" t="str">
        <f t="shared" si="0"/>
        <v>Low Price</v>
      </c>
      <c r="E21" s="2">
        <f t="shared" si="1"/>
        <v>968</v>
      </c>
      <c r="F21" s="1">
        <v>0.49</v>
      </c>
      <c r="G21" s="1" t="str">
        <f t="shared" si="2"/>
        <v>High Discount</v>
      </c>
      <c r="H21">
        <v>44</v>
      </c>
      <c r="I21">
        <v>4.5999999999999996</v>
      </c>
      <c r="J21" t="str">
        <f t="shared" si="3"/>
        <v>Excellent</v>
      </c>
    </row>
    <row r="22" spans="1:10" x14ac:dyDescent="0.35">
      <c r="A22" t="s">
        <v>35</v>
      </c>
      <c r="B22" s="3">
        <v>38</v>
      </c>
      <c r="C22" s="3">
        <v>80</v>
      </c>
      <c r="D22" s="2" t="str">
        <f t="shared" si="0"/>
        <v>Low Price</v>
      </c>
      <c r="E22" s="2">
        <f t="shared" si="1"/>
        <v>42</v>
      </c>
      <c r="F22" s="1">
        <v>0.53</v>
      </c>
      <c r="G22" s="1" t="str">
        <f t="shared" si="2"/>
        <v>High Discount</v>
      </c>
      <c r="H22">
        <v>13</v>
      </c>
      <c r="I22">
        <v>3.3</v>
      </c>
      <c r="J22" t="str">
        <f t="shared" si="3"/>
        <v>Average</v>
      </c>
    </row>
    <row r="23" spans="1:10" x14ac:dyDescent="0.35">
      <c r="A23" t="s">
        <v>37</v>
      </c>
      <c r="B23" s="3">
        <v>1860</v>
      </c>
      <c r="C23" s="3">
        <v>3220</v>
      </c>
      <c r="D23" s="2" t="str">
        <f t="shared" si="0"/>
        <v>Low Price</v>
      </c>
      <c r="E23" s="2">
        <f t="shared" si="1"/>
        <v>1360</v>
      </c>
      <c r="F23" s="1">
        <v>0.42</v>
      </c>
      <c r="G23" s="1" t="str">
        <f t="shared" si="2"/>
        <v>High Discount</v>
      </c>
      <c r="H23" t="s">
        <v>38</v>
      </c>
      <c r="I23" t="s">
        <v>38</v>
      </c>
      <c r="J23" t="str">
        <f t="shared" si="3"/>
        <v>Unknown</v>
      </c>
    </row>
    <row r="24" spans="1:10" x14ac:dyDescent="0.35">
      <c r="A24" t="s">
        <v>39</v>
      </c>
      <c r="B24" s="3">
        <v>880</v>
      </c>
      <c r="C24" s="3">
        <v>1350</v>
      </c>
      <c r="D24" s="2" t="str">
        <f t="shared" si="0"/>
        <v>Low Price</v>
      </c>
      <c r="E24" s="2">
        <f t="shared" si="1"/>
        <v>470</v>
      </c>
      <c r="F24" s="1">
        <v>0.35</v>
      </c>
      <c r="G24" s="1" t="str">
        <f t="shared" si="2"/>
        <v>Medium Discount</v>
      </c>
      <c r="H24">
        <v>6</v>
      </c>
      <c r="I24">
        <v>4</v>
      </c>
      <c r="J24" t="str">
        <f t="shared" si="3"/>
        <v>Average</v>
      </c>
    </row>
    <row r="25" spans="1:10" x14ac:dyDescent="0.35">
      <c r="A25" t="s">
        <v>40</v>
      </c>
      <c r="B25" s="3">
        <v>1650</v>
      </c>
      <c r="C25" s="3">
        <v>2150</v>
      </c>
      <c r="D25" s="2" t="str">
        <f t="shared" si="0"/>
        <v>Low Price</v>
      </c>
      <c r="E25" s="2">
        <f t="shared" si="1"/>
        <v>500</v>
      </c>
      <c r="F25" s="1">
        <v>0.23</v>
      </c>
      <c r="G25" s="1" t="str">
        <f t="shared" si="2"/>
        <v>Medium Discount</v>
      </c>
      <c r="H25">
        <v>14</v>
      </c>
      <c r="I25">
        <v>4.4000000000000004</v>
      </c>
      <c r="J25" t="str">
        <f t="shared" si="3"/>
        <v>Average</v>
      </c>
    </row>
    <row r="26" spans="1:10" x14ac:dyDescent="0.35">
      <c r="A26" t="s">
        <v>42</v>
      </c>
      <c r="B26" s="3">
        <v>2048</v>
      </c>
      <c r="C26" s="3">
        <v>4500</v>
      </c>
      <c r="D26" s="2" t="str">
        <f t="shared" si="0"/>
        <v>Medium Price</v>
      </c>
      <c r="E26" s="2">
        <f t="shared" si="1"/>
        <v>2452</v>
      </c>
      <c r="F26" s="1">
        <v>0.54</v>
      </c>
      <c r="G26" s="1" t="str">
        <f t="shared" si="2"/>
        <v>High Discount</v>
      </c>
      <c r="H26">
        <v>7</v>
      </c>
      <c r="I26">
        <v>4.3</v>
      </c>
      <c r="J26" t="str">
        <f t="shared" si="3"/>
        <v>Average</v>
      </c>
    </row>
    <row r="27" spans="1:10" x14ac:dyDescent="0.35">
      <c r="A27" t="s">
        <v>44</v>
      </c>
      <c r="B27" s="3">
        <v>420</v>
      </c>
      <c r="C27" s="3">
        <v>647</v>
      </c>
      <c r="D27" s="2" t="str">
        <f t="shared" si="0"/>
        <v>Low Price</v>
      </c>
      <c r="E27" s="2">
        <f t="shared" si="1"/>
        <v>227</v>
      </c>
      <c r="F27" s="1">
        <v>0.35</v>
      </c>
      <c r="G27" s="1" t="str">
        <f t="shared" si="2"/>
        <v>Medium Discount</v>
      </c>
      <c r="H27">
        <v>49</v>
      </c>
      <c r="I27">
        <v>4.5999999999999996</v>
      </c>
      <c r="J27" t="str">
        <f t="shared" si="3"/>
        <v>Excellent</v>
      </c>
    </row>
    <row r="28" spans="1:10" x14ac:dyDescent="0.35">
      <c r="A28" t="s">
        <v>45</v>
      </c>
      <c r="B28" s="3">
        <v>2880</v>
      </c>
      <c r="C28" s="3">
        <v>3520</v>
      </c>
      <c r="D28" s="2" t="str">
        <f t="shared" si="0"/>
        <v>Medium Price</v>
      </c>
      <c r="E28" s="2">
        <f t="shared" si="1"/>
        <v>640</v>
      </c>
      <c r="F28" s="1">
        <v>0.18</v>
      </c>
      <c r="G28" s="1" t="str">
        <f t="shared" si="2"/>
        <v>Low Discount</v>
      </c>
      <c r="H28">
        <v>12</v>
      </c>
      <c r="I28">
        <v>3.8</v>
      </c>
      <c r="J28" t="str">
        <f t="shared" si="3"/>
        <v>Average</v>
      </c>
    </row>
    <row r="29" spans="1:10" x14ac:dyDescent="0.35">
      <c r="A29" t="s">
        <v>46</v>
      </c>
      <c r="B29" s="3">
        <v>1350</v>
      </c>
      <c r="C29" s="3">
        <v>1990</v>
      </c>
      <c r="D29" s="2" t="str">
        <f t="shared" si="0"/>
        <v>Low Price</v>
      </c>
      <c r="E29" s="2">
        <f t="shared" si="1"/>
        <v>640</v>
      </c>
      <c r="F29" s="1">
        <v>0.32</v>
      </c>
      <c r="G29" s="1" t="str">
        <f t="shared" si="2"/>
        <v>Medium Discount</v>
      </c>
      <c r="H29">
        <v>13</v>
      </c>
      <c r="I29">
        <v>3.8</v>
      </c>
      <c r="J29" t="str">
        <f t="shared" si="3"/>
        <v>Average</v>
      </c>
    </row>
    <row r="30" spans="1:10" x14ac:dyDescent="0.35">
      <c r="A30" t="s">
        <v>47</v>
      </c>
      <c r="B30" s="3">
        <v>1758</v>
      </c>
      <c r="C30" s="3">
        <v>2499</v>
      </c>
      <c r="D30" s="2" t="str">
        <f t="shared" si="0"/>
        <v>Low Price</v>
      </c>
      <c r="E30" s="2">
        <f t="shared" si="1"/>
        <v>741</v>
      </c>
      <c r="F30" s="1">
        <v>0.3</v>
      </c>
      <c r="G30" s="1" t="str">
        <f t="shared" si="2"/>
        <v>Medium Discount</v>
      </c>
      <c r="H30">
        <v>20</v>
      </c>
      <c r="I30">
        <v>4.0999999999999996</v>
      </c>
      <c r="J30" t="str">
        <f t="shared" si="3"/>
        <v>Average</v>
      </c>
    </row>
    <row r="31" spans="1:10" x14ac:dyDescent="0.35">
      <c r="A31" t="s">
        <v>48</v>
      </c>
      <c r="B31" s="3">
        <v>2200</v>
      </c>
      <c r="C31" s="3">
        <v>4080</v>
      </c>
      <c r="D31" s="2" t="str">
        <f t="shared" si="0"/>
        <v>Medium Price</v>
      </c>
      <c r="E31" s="2">
        <f t="shared" si="1"/>
        <v>1880</v>
      </c>
      <c r="F31" s="1">
        <v>0.46</v>
      </c>
      <c r="G31" s="1" t="str">
        <f t="shared" si="2"/>
        <v>High Discount</v>
      </c>
      <c r="H31" t="s">
        <v>38</v>
      </c>
      <c r="I31" t="s">
        <v>38</v>
      </c>
      <c r="J31" t="str">
        <f t="shared" si="3"/>
        <v>Unknown</v>
      </c>
    </row>
    <row r="32" spans="1:10" x14ac:dyDescent="0.35">
      <c r="A32" t="s">
        <v>49</v>
      </c>
      <c r="B32" s="3">
        <v>185</v>
      </c>
      <c r="C32" s="3">
        <v>382</v>
      </c>
      <c r="D32" s="2" t="str">
        <f t="shared" si="0"/>
        <v>Low Price</v>
      </c>
      <c r="E32" s="2">
        <f t="shared" si="1"/>
        <v>197</v>
      </c>
      <c r="F32" s="1">
        <v>0.52</v>
      </c>
      <c r="G32" s="1" t="str">
        <f t="shared" si="2"/>
        <v>High Discount</v>
      </c>
      <c r="H32">
        <v>9</v>
      </c>
      <c r="I32">
        <v>4.3</v>
      </c>
      <c r="J32" t="str">
        <f t="shared" si="3"/>
        <v>Average</v>
      </c>
    </row>
    <row r="33" spans="1:10" x14ac:dyDescent="0.35">
      <c r="A33" t="s">
        <v>50</v>
      </c>
      <c r="B33" s="3">
        <v>980</v>
      </c>
      <c r="C33" s="3">
        <v>1490</v>
      </c>
      <c r="D33" s="2" t="str">
        <f t="shared" si="0"/>
        <v>Low Price</v>
      </c>
      <c r="E33" s="2">
        <f t="shared" si="1"/>
        <v>510</v>
      </c>
      <c r="F33" s="1">
        <v>0.34</v>
      </c>
      <c r="G33" s="1" t="str">
        <f t="shared" si="2"/>
        <v>Medium Discount</v>
      </c>
      <c r="H33">
        <v>12</v>
      </c>
      <c r="I33">
        <v>4.7</v>
      </c>
      <c r="J33" t="str">
        <f t="shared" si="3"/>
        <v>Excellent</v>
      </c>
    </row>
    <row r="34" spans="1:10" x14ac:dyDescent="0.35">
      <c r="A34" t="s">
        <v>51</v>
      </c>
      <c r="B34" s="3">
        <v>1820</v>
      </c>
      <c r="C34" s="3">
        <v>3490</v>
      </c>
      <c r="D34" s="2" t="str">
        <f t="shared" si="0"/>
        <v>Low Price</v>
      </c>
      <c r="E34" s="2">
        <f t="shared" si="1"/>
        <v>1670</v>
      </c>
      <c r="F34" s="1">
        <v>0.48</v>
      </c>
      <c r="G34" s="1" t="str">
        <f t="shared" si="2"/>
        <v>High Discount</v>
      </c>
      <c r="H34">
        <v>9</v>
      </c>
      <c r="I34">
        <v>4.3</v>
      </c>
      <c r="J34" t="str">
        <f t="shared" si="3"/>
        <v>Average</v>
      </c>
    </row>
    <row r="35" spans="1:10" x14ac:dyDescent="0.35">
      <c r="A35" t="s">
        <v>52</v>
      </c>
      <c r="B35" s="3">
        <v>1940</v>
      </c>
      <c r="C35" s="3">
        <v>2650</v>
      </c>
      <c r="D35" s="2" t="str">
        <f t="shared" si="0"/>
        <v>Low Price</v>
      </c>
      <c r="E35" s="2">
        <f t="shared" si="1"/>
        <v>710</v>
      </c>
      <c r="F35" s="1">
        <v>0.27</v>
      </c>
      <c r="G35" s="1" t="str">
        <f t="shared" si="2"/>
        <v>Medium Discount</v>
      </c>
      <c r="H35">
        <v>20</v>
      </c>
      <c r="I35">
        <v>4.7</v>
      </c>
      <c r="J35" t="str">
        <f t="shared" si="3"/>
        <v>Excellent</v>
      </c>
    </row>
    <row r="36" spans="1:10" x14ac:dyDescent="0.35">
      <c r="A36" t="s">
        <v>53</v>
      </c>
      <c r="B36" s="3">
        <v>1980</v>
      </c>
      <c r="C36" s="3">
        <v>2699</v>
      </c>
      <c r="D36" s="2" t="str">
        <f t="shared" si="0"/>
        <v>Low Price</v>
      </c>
      <c r="E36" s="2">
        <f t="shared" si="1"/>
        <v>719</v>
      </c>
      <c r="F36" s="1">
        <v>0.27</v>
      </c>
      <c r="G36" s="1" t="str">
        <f t="shared" si="2"/>
        <v>Medium Discount</v>
      </c>
      <c r="H36">
        <v>32</v>
      </c>
      <c r="I36">
        <v>4.5</v>
      </c>
      <c r="J36" t="str">
        <f t="shared" si="3"/>
        <v>Average</v>
      </c>
    </row>
    <row r="37" spans="1:10" x14ac:dyDescent="0.35">
      <c r="A37" t="s">
        <v>54</v>
      </c>
      <c r="B37" s="3">
        <v>1620</v>
      </c>
      <c r="C37" s="3">
        <v>2690</v>
      </c>
      <c r="D37" s="2" t="str">
        <f t="shared" si="0"/>
        <v>Low Price</v>
      </c>
      <c r="E37" s="2">
        <f t="shared" si="1"/>
        <v>1070</v>
      </c>
      <c r="F37" s="1">
        <v>0.4</v>
      </c>
      <c r="G37" s="1" t="str">
        <f t="shared" si="2"/>
        <v>Medium Discount</v>
      </c>
      <c r="H37">
        <v>1</v>
      </c>
      <c r="I37">
        <v>5</v>
      </c>
      <c r="J37" t="str">
        <f t="shared" si="3"/>
        <v>Excellent</v>
      </c>
    </row>
    <row r="38" spans="1:10" x14ac:dyDescent="0.35">
      <c r="A38" t="s">
        <v>55</v>
      </c>
      <c r="B38" s="3">
        <v>171</v>
      </c>
      <c r="C38" s="3">
        <v>360</v>
      </c>
      <c r="D38" s="2" t="str">
        <f t="shared" si="0"/>
        <v>Low Price</v>
      </c>
      <c r="E38" s="2">
        <f t="shared" si="1"/>
        <v>189</v>
      </c>
      <c r="F38" s="1">
        <v>0.53</v>
      </c>
      <c r="G38" s="1" t="str">
        <f t="shared" si="2"/>
        <v>High Discount</v>
      </c>
      <c r="H38">
        <v>2</v>
      </c>
      <c r="I38">
        <v>5</v>
      </c>
      <c r="J38" t="str">
        <f t="shared" si="3"/>
        <v>Excellent</v>
      </c>
    </row>
    <row r="39" spans="1:10" x14ac:dyDescent="0.35">
      <c r="A39" t="s">
        <v>56</v>
      </c>
      <c r="B39" s="3">
        <v>389</v>
      </c>
      <c r="C39" s="3">
        <v>656</v>
      </c>
      <c r="D39" s="2" t="str">
        <f t="shared" si="0"/>
        <v>Low Price</v>
      </c>
      <c r="E39" s="2">
        <f t="shared" si="1"/>
        <v>267</v>
      </c>
      <c r="F39" s="1">
        <v>0.41</v>
      </c>
      <c r="G39" s="1" t="str">
        <f t="shared" si="2"/>
        <v>High Discount</v>
      </c>
      <c r="H39">
        <v>36</v>
      </c>
      <c r="I39">
        <v>4.3</v>
      </c>
      <c r="J39" t="str">
        <f t="shared" si="3"/>
        <v>Average</v>
      </c>
    </row>
    <row r="40" spans="1:10" x14ac:dyDescent="0.35">
      <c r="A40" t="s">
        <v>57</v>
      </c>
      <c r="B40" s="3">
        <f>AVERAGE(1620,1980)</f>
        <v>1800</v>
      </c>
      <c r="C40" s="3">
        <f>AVERAGE(2200,3200)</f>
        <v>2700</v>
      </c>
      <c r="D40" s="2" t="str">
        <f t="shared" si="0"/>
        <v>Low Price</v>
      </c>
      <c r="E40" s="2">
        <f t="shared" si="1"/>
        <v>900</v>
      </c>
      <c r="F40" s="1">
        <v>0.38</v>
      </c>
      <c r="G40" s="1" t="str">
        <f t="shared" si="2"/>
        <v>Medium Discount</v>
      </c>
      <c r="H40">
        <v>2</v>
      </c>
      <c r="I40">
        <v>4.5</v>
      </c>
      <c r="J40" t="str">
        <f t="shared" si="3"/>
        <v>Average</v>
      </c>
    </row>
    <row r="41" spans="1:10" x14ac:dyDescent="0.35">
      <c r="A41" t="s">
        <v>60</v>
      </c>
      <c r="B41" s="3">
        <v>2750</v>
      </c>
      <c r="C41" s="3">
        <v>4471</v>
      </c>
      <c r="D41" s="2" t="str">
        <f t="shared" si="0"/>
        <v>Medium Price</v>
      </c>
      <c r="E41" s="2">
        <f t="shared" si="1"/>
        <v>1721</v>
      </c>
      <c r="F41" s="1">
        <v>0.38</v>
      </c>
      <c r="G41" s="1" t="str">
        <f t="shared" si="2"/>
        <v>Medium Discount</v>
      </c>
      <c r="H41" t="s">
        <v>38</v>
      </c>
      <c r="I41" t="s">
        <v>38</v>
      </c>
      <c r="J41" t="str">
        <f t="shared" si="3"/>
        <v>Unknown</v>
      </c>
    </row>
    <row r="42" spans="1:10" x14ac:dyDescent="0.35">
      <c r="A42" t="s">
        <v>61</v>
      </c>
      <c r="B42" s="3">
        <v>475</v>
      </c>
      <c r="C42" s="3">
        <v>931</v>
      </c>
      <c r="D42" s="2" t="str">
        <f t="shared" si="0"/>
        <v>Low Price</v>
      </c>
      <c r="E42" s="2">
        <f t="shared" si="1"/>
        <v>456</v>
      </c>
      <c r="F42" s="1">
        <v>0.49</v>
      </c>
      <c r="G42" s="1" t="str">
        <f t="shared" si="2"/>
        <v>High Discount</v>
      </c>
      <c r="H42" t="s">
        <v>38</v>
      </c>
      <c r="I42" t="s">
        <v>38</v>
      </c>
      <c r="J42" t="str">
        <f t="shared" si="3"/>
        <v>Unknown</v>
      </c>
    </row>
    <row r="43" spans="1:10" x14ac:dyDescent="0.35">
      <c r="A43" t="s">
        <v>62</v>
      </c>
      <c r="B43" s="3">
        <v>238</v>
      </c>
      <c r="C43" s="3">
        <v>476</v>
      </c>
      <c r="D43" s="2" t="str">
        <f t="shared" si="0"/>
        <v>Low Price</v>
      </c>
      <c r="E43" s="2">
        <f t="shared" si="1"/>
        <v>238</v>
      </c>
      <c r="F43" s="1">
        <v>0.5</v>
      </c>
      <c r="G43" s="1" t="str">
        <f t="shared" si="2"/>
        <v>High Discount</v>
      </c>
      <c r="H43" t="s">
        <v>38</v>
      </c>
      <c r="I43" t="s">
        <v>38</v>
      </c>
      <c r="J43" t="str">
        <f t="shared" si="3"/>
        <v>Unknown</v>
      </c>
    </row>
    <row r="44" spans="1:10" x14ac:dyDescent="0.35">
      <c r="A44" t="s">
        <v>63</v>
      </c>
      <c r="B44" s="3">
        <v>610</v>
      </c>
      <c r="C44" s="3">
        <v>1060</v>
      </c>
      <c r="D44" s="2" t="str">
        <f t="shared" si="0"/>
        <v>Low Price</v>
      </c>
      <c r="E44" s="2">
        <f t="shared" si="1"/>
        <v>450</v>
      </c>
      <c r="F44" s="1">
        <v>0.42</v>
      </c>
      <c r="G44" s="1" t="str">
        <f t="shared" si="2"/>
        <v>High Discount</v>
      </c>
      <c r="H44" t="s">
        <v>38</v>
      </c>
      <c r="I44" t="s">
        <v>38</v>
      </c>
      <c r="J44" t="str">
        <f t="shared" si="3"/>
        <v>Unknown</v>
      </c>
    </row>
    <row r="45" spans="1:10" x14ac:dyDescent="0.35">
      <c r="A45" t="s">
        <v>64</v>
      </c>
      <c r="B45" s="3">
        <v>2132</v>
      </c>
      <c r="C45" s="3">
        <v>2169</v>
      </c>
      <c r="D45" s="2" t="str">
        <f t="shared" si="0"/>
        <v>Medium Price</v>
      </c>
      <c r="E45" s="2">
        <f t="shared" si="1"/>
        <v>37</v>
      </c>
      <c r="F45" s="1">
        <v>0.02</v>
      </c>
      <c r="G45" s="1" t="str">
        <f t="shared" si="2"/>
        <v>Low Discount</v>
      </c>
      <c r="H45" t="s">
        <v>38</v>
      </c>
      <c r="I45" t="s">
        <v>38</v>
      </c>
      <c r="J45" t="str">
        <f t="shared" si="3"/>
        <v>Unknown</v>
      </c>
    </row>
    <row r="46" spans="1:10" x14ac:dyDescent="0.35">
      <c r="A46" t="s">
        <v>65</v>
      </c>
      <c r="B46" s="3">
        <v>999</v>
      </c>
      <c r="C46" s="3">
        <v>2000</v>
      </c>
      <c r="D46" s="2" t="str">
        <f t="shared" si="0"/>
        <v>Low Price</v>
      </c>
      <c r="E46" s="2">
        <f t="shared" si="1"/>
        <v>1001</v>
      </c>
      <c r="F46" s="1">
        <v>0.5</v>
      </c>
      <c r="G46" s="1" t="str">
        <f t="shared" si="2"/>
        <v>High Discount</v>
      </c>
      <c r="H46" t="s">
        <v>38</v>
      </c>
      <c r="I46" t="s">
        <v>38</v>
      </c>
      <c r="J46" t="str">
        <f t="shared" si="3"/>
        <v>Unknown</v>
      </c>
    </row>
    <row r="47" spans="1:10" x14ac:dyDescent="0.35">
      <c r="A47" t="s">
        <v>66</v>
      </c>
      <c r="B47" s="3">
        <v>1190</v>
      </c>
      <c r="C47" s="3">
        <v>1785</v>
      </c>
      <c r="D47" s="2" t="str">
        <f t="shared" si="0"/>
        <v>Low Price</v>
      </c>
      <c r="E47" s="2">
        <f t="shared" si="1"/>
        <v>595</v>
      </c>
      <c r="F47" s="1">
        <v>0.33</v>
      </c>
      <c r="G47" s="1" t="str">
        <f t="shared" si="2"/>
        <v>Medium Discount</v>
      </c>
      <c r="H47" t="s">
        <v>38</v>
      </c>
      <c r="I47" t="s">
        <v>38</v>
      </c>
      <c r="J47" t="str">
        <f t="shared" si="3"/>
        <v>Unknown</v>
      </c>
    </row>
    <row r="48" spans="1:10" x14ac:dyDescent="0.35">
      <c r="A48" t="s">
        <v>67</v>
      </c>
      <c r="B48" s="3">
        <v>671</v>
      </c>
      <c r="C48" s="3">
        <v>1316</v>
      </c>
      <c r="D48" s="2" t="str">
        <f t="shared" si="0"/>
        <v>Low Price</v>
      </c>
      <c r="E48" s="2">
        <f t="shared" si="1"/>
        <v>645</v>
      </c>
      <c r="F48" s="1">
        <v>0.49</v>
      </c>
      <c r="G48" s="1" t="str">
        <f t="shared" si="2"/>
        <v>High Discount</v>
      </c>
      <c r="H48" t="s">
        <v>38</v>
      </c>
      <c r="I48" t="s">
        <v>38</v>
      </c>
      <c r="J48" t="str">
        <f t="shared" si="3"/>
        <v>Unknown</v>
      </c>
    </row>
    <row r="49" spans="1:10" x14ac:dyDescent="0.35">
      <c r="A49" t="s">
        <v>68</v>
      </c>
      <c r="B49" s="3">
        <v>1200</v>
      </c>
      <c r="C49" s="3">
        <v>1950</v>
      </c>
      <c r="D49" s="2" t="str">
        <f t="shared" si="0"/>
        <v>Low Price</v>
      </c>
      <c r="E49" s="2">
        <f t="shared" si="1"/>
        <v>750</v>
      </c>
      <c r="F49" s="1">
        <v>0.38</v>
      </c>
      <c r="G49" s="1" t="str">
        <f t="shared" si="2"/>
        <v>Medium Discount</v>
      </c>
      <c r="H49" t="s">
        <v>38</v>
      </c>
      <c r="I49" t="s">
        <v>38</v>
      </c>
      <c r="J49" t="str">
        <f t="shared" si="3"/>
        <v>Unknown</v>
      </c>
    </row>
    <row r="50" spans="1:10" x14ac:dyDescent="0.35">
      <c r="A50" t="s">
        <v>69</v>
      </c>
      <c r="B50" s="3">
        <v>199</v>
      </c>
      <c r="C50" s="3">
        <v>504</v>
      </c>
      <c r="D50" s="2" t="str">
        <f t="shared" si="0"/>
        <v>Low Price</v>
      </c>
      <c r="E50" s="2">
        <f t="shared" si="1"/>
        <v>305</v>
      </c>
      <c r="F50" s="1">
        <v>0.61</v>
      </c>
      <c r="G50" s="1" t="str">
        <f t="shared" si="2"/>
        <v>High Discount</v>
      </c>
      <c r="H50" t="s">
        <v>38</v>
      </c>
      <c r="I50" t="s">
        <v>38</v>
      </c>
      <c r="J50" t="str">
        <f t="shared" si="3"/>
        <v>Unknown</v>
      </c>
    </row>
    <row r="51" spans="1:10" x14ac:dyDescent="0.35">
      <c r="A51" t="s">
        <v>70</v>
      </c>
      <c r="B51" s="3">
        <v>299</v>
      </c>
      <c r="C51" s="3">
        <v>600</v>
      </c>
      <c r="D51" s="2" t="str">
        <f t="shared" si="0"/>
        <v>Low Price</v>
      </c>
      <c r="E51" s="2">
        <f t="shared" si="1"/>
        <v>301</v>
      </c>
      <c r="F51" s="1">
        <v>0.5</v>
      </c>
      <c r="G51" s="1" t="str">
        <f t="shared" si="2"/>
        <v>High Discount</v>
      </c>
      <c r="H51" t="s">
        <v>38</v>
      </c>
      <c r="I51" t="s">
        <v>38</v>
      </c>
      <c r="J51" t="str">
        <f t="shared" si="3"/>
        <v>Unknown</v>
      </c>
    </row>
    <row r="52" spans="1:10" x14ac:dyDescent="0.35">
      <c r="A52" t="s">
        <v>71</v>
      </c>
      <c r="B52" s="3">
        <v>1660</v>
      </c>
      <c r="C52" s="3">
        <v>1699</v>
      </c>
      <c r="D52" s="2" t="str">
        <f t="shared" si="0"/>
        <v>Low Price</v>
      </c>
      <c r="E52" s="2">
        <f t="shared" si="1"/>
        <v>39</v>
      </c>
      <c r="F52" s="1">
        <v>0.02</v>
      </c>
      <c r="G52" s="1" t="str">
        <f t="shared" si="2"/>
        <v>Low Discount</v>
      </c>
      <c r="H52" t="s">
        <v>38</v>
      </c>
      <c r="I52" t="s">
        <v>38</v>
      </c>
      <c r="J52" t="str">
        <f t="shared" si="3"/>
        <v>Unknown</v>
      </c>
    </row>
    <row r="53" spans="1:10" x14ac:dyDescent="0.35">
      <c r="A53" t="s">
        <v>72</v>
      </c>
      <c r="B53" s="3">
        <v>299</v>
      </c>
      <c r="C53" s="3">
        <v>384</v>
      </c>
      <c r="D53" s="2" t="str">
        <f t="shared" si="0"/>
        <v>Low Price</v>
      </c>
      <c r="E53" s="2">
        <f t="shared" si="1"/>
        <v>85</v>
      </c>
      <c r="F53" s="1">
        <v>0.22</v>
      </c>
      <c r="G53" s="1" t="str">
        <f t="shared" si="2"/>
        <v>Medium Discount</v>
      </c>
      <c r="H53" t="s">
        <v>38</v>
      </c>
      <c r="I53" t="s">
        <v>38</v>
      </c>
      <c r="J53" t="str">
        <f t="shared" si="3"/>
        <v>Unknown</v>
      </c>
    </row>
    <row r="54" spans="1:10" x14ac:dyDescent="0.35">
      <c r="A54" t="s">
        <v>73</v>
      </c>
      <c r="B54" s="3">
        <v>1459</v>
      </c>
      <c r="C54" s="3">
        <v>1499</v>
      </c>
      <c r="D54" s="2" t="str">
        <f t="shared" si="0"/>
        <v>Low Price</v>
      </c>
      <c r="E54" s="2">
        <f t="shared" si="1"/>
        <v>40</v>
      </c>
      <c r="F54" s="1">
        <v>0.03</v>
      </c>
      <c r="G54" s="1" t="str">
        <f t="shared" si="2"/>
        <v>Low Discount</v>
      </c>
      <c r="H54" t="s">
        <v>38</v>
      </c>
      <c r="I54" t="s">
        <v>38</v>
      </c>
      <c r="J54" t="str">
        <f t="shared" si="3"/>
        <v>Unknown</v>
      </c>
    </row>
    <row r="55" spans="1:10" x14ac:dyDescent="0.35">
      <c r="A55" t="s">
        <v>74</v>
      </c>
      <c r="B55" s="3">
        <v>799</v>
      </c>
      <c r="C55" s="3">
        <v>1343</v>
      </c>
      <c r="D55" s="2" t="str">
        <f t="shared" si="0"/>
        <v>Low Price</v>
      </c>
      <c r="E55" s="2">
        <f t="shared" si="1"/>
        <v>544</v>
      </c>
      <c r="F55" s="1">
        <v>0.41</v>
      </c>
      <c r="G55" s="1" t="str">
        <f t="shared" si="2"/>
        <v>High Discount</v>
      </c>
      <c r="H55" t="s">
        <v>38</v>
      </c>
      <c r="I55" t="s">
        <v>38</v>
      </c>
      <c r="J55" t="str">
        <f t="shared" si="3"/>
        <v>Unknown</v>
      </c>
    </row>
    <row r="56" spans="1:10" x14ac:dyDescent="0.35">
      <c r="A56" t="s">
        <v>75</v>
      </c>
      <c r="B56" s="3">
        <v>499</v>
      </c>
      <c r="C56" s="3">
        <v>900</v>
      </c>
      <c r="D56" s="2" t="str">
        <f t="shared" si="0"/>
        <v>Low Price</v>
      </c>
      <c r="E56" s="2">
        <f t="shared" si="1"/>
        <v>401</v>
      </c>
      <c r="F56" s="1">
        <v>0.45</v>
      </c>
      <c r="G56" s="1" t="str">
        <f t="shared" si="2"/>
        <v>High Discount</v>
      </c>
      <c r="H56" t="s">
        <v>38</v>
      </c>
      <c r="I56" t="s">
        <v>38</v>
      </c>
      <c r="J56" t="str">
        <f t="shared" si="3"/>
        <v>Unknown</v>
      </c>
    </row>
    <row r="57" spans="1:10" x14ac:dyDescent="0.35">
      <c r="A57" t="s">
        <v>76</v>
      </c>
      <c r="B57" s="3">
        <v>699</v>
      </c>
      <c r="C57" s="3">
        <v>1343</v>
      </c>
      <c r="D57" s="2" t="str">
        <f t="shared" si="0"/>
        <v>Low Price</v>
      </c>
      <c r="E57" s="2">
        <f t="shared" si="1"/>
        <v>644</v>
      </c>
      <c r="F57" s="1">
        <v>0.48</v>
      </c>
      <c r="G57" s="1" t="str">
        <f t="shared" si="2"/>
        <v>High Discount</v>
      </c>
      <c r="H57" t="s">
        <v>38</v>
      </c>
      <c r="I57" t="s">
        <v>38</v>
      </c>
      <c r="J57" t="str">
        <f t="shared" si="3"/>
        <v>Unknown</v>
      </c>
    </row>
    <row r="58" spans="1:10" x14ac:dyDescent="0.35">
      <c r="A58" t="s">
        <v>77</v>
      </c>
      <c r="B58" s="3">
        <v>799</v>
      </c>
      <c r="C58" s="3">
        <v>1567</v>
      </c>
      <c r="D58" s="2" t="str">
        <f t="shared" si="0"/>
        <v>Low Price</v>
      </c>
      <c r="E58" s="2">
        <f t="shared" si="1"/>
        <v>768</v>
      </c>
      <c r="F58" s="1">
        <v>0.49</v>
      </c>
      <c r="G58" s="1" t="str">
        <f t="shared" si="2"/>
        <v>High Discount</v>
      </c>
      <c r="H58" t="s">
        <v>38</v>
      </c>
      <c r="I58" t="s">
        <v>38</v>
      </c>
      <c r="J58" t="str">
        <f t="shared" si="3"/>
        <v>Unknown</v>
      </c>
    </row>
    <row r="59" spans="1:10" x14ac:dyDescent="0.35">
      <c r="A59" t="s">
        <v>78</v>
      </c>
      <c r="B59" s="3">
        <v>2799</v>
      </c>
      <c r="C59" s="3">
        <v>3810</v>
      </c>
      <c r="D59" s="2" t="str">
        <f t="shared" si="0"/>
        <v>Medium Price</v>
      </c>
      <c r="E59" s="2">
        <f t="shared" si="1"/>
        <v>1011</v>
      </c>
      <c r="F59" s="1">
        <v>0.27</v>
      </c>
      <c r="G59" s="1" t="str">
        <f t="shared" si="2"/>
        <v>Medium Discount</v>
      </c>
      <c r="H59" t="s">
        <v>38</v>
      </c>
      <c r="I59" t="s">
        <v>38</v>
      </c>
      <c r="J59" t="str">
        <f t="shared" si="3"/>
        <v>Unknown</v>
      </c>
    </row>
    <row r="60" spans="1:10" x14ac:dyDescent="0.35">
      <c r="A60" t="s">
        <v>75</v>
      </c>
      <c r="B60" s="3">
        <v>399</v>
      </c>
      <c r="C60" s="3">
        <v>896</v>
      </c>
      <c r="D60" s="2" t="str">
        <f t="shared" si="0"/>
        <v>Low Price</v>
      </c>
      <c r="E60" s="2">
        <f t="shared" si="1"/>
        <v>497</v>
      </c>
      <c r="F60" s="1">
        <v>0.55000000000000004</v>
      </c>
      <c r="G60" s="1" t="str">
        <f t="shared" si="2"/>
        <v>High Discount</v>
      </c>
      <c r="H60" t="s">
        <v>38</v>
      </c>
      <c r="I60" t="s">
        <v>38</v>
      </c>
      <c r="J60" t="str">
        <f t="shared" si="3"/>
        <v>Unknown</v>
      </c>
    </row>
    <row r="61" spans="1:10" x14ac:dyDescent="0.35">
      <c r="A61" t="s">
        <v>79</v>
      </c>
      <c r="B61" s="3">
        <v>2170</v>
      </c>
      <c r="C61" s="3">
        <v>2500</v>
      </c>
      <c r="D61" s="2" t="str">
        <f t="shared" si="0"/>
        <v>Medium Price</v>
      </c>
      <c r="E61" s="2">
        <f t="shared" si="1"/>
        <v>330</v>
      </c>
      <c r="F61" s="1">
        <v>0.13</v>
      </c>
      <c r="G61" s="1" t="str">
        <f t="shared" si="2"/>
        <v>Low Discount</v>
      </c>
      <c r="H61">
        <v>6</v>
      </c>
      <c r="I61">
        <v>2.5</v>
      </c>
      <c r="J61" t="str">
        <f t="shared" si="3"/>
        <v>Poor</v>
      </c>
    </row>
    <row r="62" spans="1:10" x14ac:dyDescent="0.35">
      <c r="A62" t="s">
        <v>81</v>
      </c>
      <c r="B62" s="3">
        <v>458</v>
      </c>
      <c r="C62" s="3">
        <v>986</v>
      </c>
      <c r="D62" s="2" t="str">
        <f t="shared" si="0"/>
        <v>Low Price</v>
      </c>
      <c r="E62" s="2">
        <f t="shared" si="1"/>
        <v>528</v>
      </c>
      <c r="F62" s="1">
        <v>0.54</v>
      </c>
      <c r="G62" s="1" t="str">
        <f t="shared" si="2"/>
        <v>High Discount</v>
      </c>
      <c r="H62">
        <v>10</v>
      </c>
      <c r="I62">
        <v>3</v>
      </c>
      <c r="J62" t="str">
        <f t="shared" si="3"/>
        <v>Average</v>
      </c>
    </row>
    <row r="63" spans="1:10" x14ac:dyDescent="0.35">
      <c r="A63" t="s">
        <v>83</v>
      </c>
      <c r="B63" s="3">
        <v>2115</v>
      </c>
      <c r="C63" s="3">
        <v>4700</v>
      </c>
      <c r="D63" s="2" t="str">
        <f t="shared" si="0"/>
        <v>Medium Price</v>
      </c>
      <c r="E63" s="2">
        <f t="shared" si="1"/>
        <v>2585</v>
      </c>
      <c r="F63" s="1">
        <v>0.55000000000000004</v>
      </c>
      <c r="G63" s="1" t="str">
        <f t="shared" si="2"/>
        <v>High Discount</v>
      </c>
      <c r="H63">
        <v>13</v>
      </c>
      <c r="I63">
        <v>2.1</v>
      </c>
      <c r="J63" t="str">
        <f t="shared" si="3"/>
        <v>Poor</v>
      </c>
    </row>
    <row r="64" spans="1:10" x14ac:dyDescent="0.35">
      <c r="A64" t="s">
        <v>85</v>
      </c>
      <c r="B64" s="3">
        <v>445</v>
      </c>
      <c r="C64" s="3">
        <v>873</v>
      </c>
      <c r="D64" s="2" t="str">
        <f t="shared" si="0"/>
        <v>Low Price</v>
      </c>
      <c r="E64" s="2">
        <f t="shared" si="1"/>
        <v>428</v>
      </c>
      <c r="F64" s="1">
        <v>0.49</v>
      </c>
      <c r="G64" s="1" t="str">
        <f t="shared" si="2"/>
        <v>High Discount</v>
      </c>
      <c r="H64">
        <v>69</v>
      </c>
      <c r="I64">
        <v>2.8</v>
      </c>
      <c r="J64" t="str">
        <f t="shared" si="3"/>
        <v>Poor</v>
      </c>
    </row>
    <row r="65" spans="1:10" x14ac:dyDescent="0.35">
      <c r="A65" t="s">
        <v>87</v>
      </c>
      <c r="B65" s="3">
        <v>325</v>
      </c>
      <c r="C65" s="3">
        <v>680</v>
      </c>
      <c r="D65" s="2" t="str">
        <f t="shared" si="0"/>
        <v>Low Price</v>
      </c>
      <c r="E65" s="2">
        <f t="shared" si="1"/>
        <v>355</v>
      </c>
      <c r="F65" s="1">
        <v>0.52</v>
      </c>
      <c r="G65" s="1" t="str">
        <f t="shared" si="2"/>
        <v>High Discount</v>
      </c>
      <c r="H65">
        <v>15</v>
      </c>
      <c r="I65">
        <v>2.7</v>
      </c>
      <c r="J65" t="str">
        <f t="shared" si="3"/>
        <v>Poor</v>
      </c>
    </row>
    <row r="66" spans="1:10" x14ac:dyDescent="0.35">
      <c r="A66" t="s">
        <v>89</v>
      </c>
      <c r="B66" s="3">
        <v>1220</v>
      </c>
      <c r="C66" s="3">
        <v>1555</v>
      </c>
      <c r="D66" s="2" t="str">
        <f t="shared" si="0"/>
        <v>Low Price</v>
      </c>
      <c r="E66" s="2">
        <f t="shared" si="1"/>
        <v>335</v>
      </c>
      <c r="F66" s="1">
        <v>0.22</v>
      </c>
      <c r="G66" s="1" t="str">
        <f t="shared" si="2"/>
        <v>Medium Discount</v>
      </c>
      <c r="H66">
        <v>16</v>
      </c>
      <c r="I66">
        <v>2.9</v>
      </c>
      <c r="J66" t="str">
        <f t="shared" si="3"/>
        <v>Poor</v>
      </c>
    </row>
    <row r="67" spans="1:10" x14ac:dyDescent="0.35">
      <c r="A67" t="s">
        <v>91</v>
      </c>
      <c r="B67" s="3">
        <v>990</v>
      </c>
      <c r="C67" s="3">
        <v>1814</v>
      </c>
      <c r="D67" s="2" t="str">
        <f t="shared" ref="D67:D113" si="4">IF(B67&gt;3000,"High Price",IF(B67&gt;=2000,"Medium Price","Low Price"))</f>
        <v>Low Price</v>
      </c>
      <c r="E67" s="2">
        <f t="shared" ref="E67:E113" si="5">C67-B67</f>
        <v>824</v>
      </c>
      <c r="F67" s="1">
        <v>0.45</v>
      </c>
      <c r="G67" s="1" t="str">
        <f t="shared" ref="G67:G113" si="6">IF(F67&lt;20%,"Low Discount",IF(F67&lt;=40%,"Medium Discount","High Discount"))</f>
        <v>High Discount</v>
      </c>
      <c r="H67">
        <v>6</v>
      </c>
      <c r="I67">
        <v>2.2000000000000002</v>
      </c>
      <c r="J67" t="str">
        <f t="shared" ref="J67:J113" si="7">IF(I67="Unknown","Unknown",IF(I67&lt;3,"Poor",IF(I67&lt;=4.5,"Average","Excellent")))</f>
        <v>Poor</v>
      </c>
    </row>
    <row r="68" spans="1:10" x14ac:dyDescent="0.35">
      <c r="A68" t="s">
        <v>93</v>
      </c>
      <c r="B68" s="3">
        <v>1000</v>
      </c>
      <c r="C68" s="3">
        <v>2000</v>
      </c>
      <c r="D68" s="2" t="str">
        <f t="shared" si="4"/>
        <v>Low Price</v>
      </c>
      <c r="E68" s="2">
        <f t="shared" si="5"/>
        <v>1000</v>
      </c>
      <c r="F68" s="1">
        <v>0.5</v>
      </c>
      <c r="G68" s="1" t="str">
        <f t="shared" si="6"/>
        <v>High Discount</v>
      </c>
      <c r="H68">
        <v>7</v>
      </c>
      <c r="I68">
        <v>2.2999999999999998</v>
      </c>
      <c r="J68" t="str">
        <f t="shared" si="7"/>
        <v>Poor</v>
      </c>
    </row>
    <row r="69" spans="1:10" x14ac:dyDescent="0.35">
      <c r="A69" t="s">
        <v>95</v>
      </c>
      <c r="B69" s="3">
        <v>3750</v>
      </c>
      <c r="C69" s="3">
        <v>6143</v>
      </c>
      <c r="D69" s="2" t="str">
        <f t="shared" si="4"/>
        <v>High Price</v>
      </c>
      <c r="E69" s="2">
        <f t="shared" si="5"/>
        <v>2393</v>
      </c>
      <c r="F69" s="1">
        <v>0.39</v>
      </c>
      <c r="G69" s="1" t="str">
        <f t="shared" si="6"/>
        <v>Medium Discount</v>
      </c>
      <c r="H69">
        <v>5</v>
      </c>
      <c r="I69">
        <v>3</v>
      </c>
      <c r="J69" t="str">
        <f t="shared" si="7"/>
        <v>Average</v>
      </c>
    </row>
    <row r="70" spans="1:10" x14ac:dyDescent="0.35">
      <c r="A70" t="s">
        <v>96</v>
      </c>
      <c r="B70" s="3">
        <v>382</v>
      </c>
      <c r="C70" s="3">
        <v>700</v>
      </c>
      <c r="D70" s="2" t="str">
        <f t="shared" si="4"/>
        <v>Low Price</v>
      </c>
      <c r="E70" s="2">
        <f t="shared" si="5"/>
        <v>318</v>
      </c>
      <c r="F70" s="1">
        <v>0.45</v>
      </c>
      <c r="G70" s="1" t="str">
        <f t="shared" si="6"/>
        <v>High Discount</v>
      </c>
      <c r="H70">
        <v>17</v>
      </c>
      <c r="I70">
        <v>2.6</v>
      </c>
      <c r="J70" t="str">
        <f t="shared" si="7"/>
        <v>Poor</v>
      </c>
    </row>
    <row r="71" spans="1:10" x14ac:dyDescent="0.35">
      <c r="A71" t="s">
        <v>98</v>
      </c>
      <c r="B71" s="3">
        <v>2300</v>
      </c>
      <c r="C71" s="3">
        <v>3240</v>
      </c>
      <c r="D71" s="2" t="str">
        <f t="shared" si="4"/>
        <v>Medium Price</v>
      </c>
      <c r="E71" s="2">
        <f t="shared" si="5"/>
        <v>940</v>
      </c>
      <c r="F71" s="1">
        <v>0.28999999999999998</v>
      </c>
      <c r="G71" s="1" t="str">
        <f t="shared" si="6"/>
        <v>Medium Discount</v>
      </c>
      <c r="H71">
        <v>5</v>
      </c>
      <c r="I71">
        <v>3</v>
      </c>
      <c r="J71" t="str">
        <f t="shared" si="7"/>
        <v>Average</v>
      </c>
    </row>
    <row r="72" spans="1:10" x14ac:dyDescent="0.35">
      <c r="A72" t="s">
        <v>99</v>
      </c>
      <c r="B72" s="3">
        <v>345</v>
      </c>
      <c r="C72" s="3">
        <v>602</v>
      </c>
      <c r="D72" s="2" t="str">
        <f t="shared" si="4"/>
        <v>Low Price</v>
      </c>
      <c r="E72" s="2">
        <f t="shared" si="5"/>
        <v>257</v>
      </c>
      <c r="F72" s="1">
        <v>0.43</v>
      </c>
      <c r="G72" s="1" t="str">
        <f t="shared" si="6"/>
        <v>High Discount</v>
      </c>
      <c r="H72">
        <v>6</v>
      </c>
      <c r="I72">
        <v>2.2999999999999998</v>
      </c>
      <c r="J72" t="str">
        <f t="shared" si="7"/>
        <v>Poor</v>
      </c>
    </row>
    <row r="73" spans="1:10" x14ac:dyDescent="0.35">
      <c r="A73" t="s">
        <v>100</v>
      </c>
      <c r="B73" s="3">
        <v>509</v>
      </c>
      <c r="C73" s="3">
        <v>899</v>
      </c>
      <c r="D73" s="2" t="str">
        <f t="shared" si="4"/>
        <v>Low Price</v>
      </c>
      <c r="E73" s="2">
        <f t="shared" si="5"/>
        <v>390</v>
      </c>
      <c r="F73" s="1">
        <v>0.43</v>
      </c>
      <c r="G73" s="1" t="str">
        <f t="shared" si="6"/>
        <v>High Discount</v>
      </c>
      <c r="H73">
        <v>5</v>
      </c>
      <c r="I73">
        <v>3</v>
      </c>
      <c r="J73" t="str">
        <f t="shared" si="7"/>
        <v>Average</v>
      </c>
    </row>
    <row r="74" spans="1:10" x14ac:dyDescent="0.35">
      <c r="A74" t="s">
        <v>101</v>
      </c>
      <c r="B74" s="3">
        <v>968</v>
      </c>
      <c r="C74" s="3">
        <v>1814</v>
      </c>
      <c r="D74" s="2" t="str">
        <f t="shared" si="4"/>
        <v>Low Price</v>
      </c>
      <c r="E74" s="2">
        <f t="shared" si="5"/>
        <v>846</v>
      </c>
      <c r="F74" s="1">
        <v>0.47</v>
      </c>
      <c r="G74" s="1" t="str">
        <f t="shared" si="6"/>
        <v>High Discount</v>
      </c>
      <c r="H74">
        <v>6</v>
      </c>
      <c r="I74">
        <v>2.2000000000000002</v>
      </c>
      <c r="J74" t="str">
        <f t="shared" si="7"/>
        <v>Poor</v>
      </c>
    </row>
    <row r="75" spans="1:10" x14ac:dyDescent="0.35">
      <c r="A75" t="s">
        <v>102</v>
      </c>
      <c r="B75" s="3">
        <v>1570</v>
      </c>
      <c r="C75" s="3">
        <v>2988</v>
      </c>
      <c r="D75" s="2" t="str">
        <f t="shared" si="4"/>
        <v>Low Price</v>
      </c>
      <c r="E75" s="2">
        <f t="shared" si="5"/>
        <v>1418</v>
      </c>
      <c r="F75" s="1">
        <v>0.47</v>
      </c>
      <c r="G75" s="1" t="str">
        <f t="shared" si="6"/>
        <v>High Discount</v>
      </c>
      <c r="H75">
        <v>7</v>
      </c>
      <c r="I75">
        <v>2.1</v>
      </c>
      <c r="J75" t="str">
        <f t="shared" si="7"/>
        <v>Poor</v>
      </c>
    </row>
    <row r="76" spans="1:10" x14ac:dyDescent="0.35">
      <c r="A76" t="s">
        <v>103</v>
      </c>
      <c r="B76" s="3">
        <v>790</v>
      </c>
      <c r="C76" s="3">
        <v>1485</v>
      </c>
      <c r="D76" s="2" t="str">
        <f t="shared" si="4"/>
        <v>Low Price</v>
      </c>
      <c r="E76" s="2">
        <f t="shared" si="5"/>
        <v>695</v>
      </c>
      <c r="F76" s="1">
        <v>0.47</v>
      </c>
      <c r="G76" s="1" t="str">
        <f t="shared" si="6"/>
        <v>High Discount</v>
      </c>
      <c r="H76" t="s">
        <v>38</v>
      </c>
      <c r="I76" t="s">
        <v>38</v>
      </c>
      <c r="J76" t="str">
        <f t="shared" si="7"/>
        <v>Unknown</v>
      </c>
    </row>
    <row r="77" spans="1:10" x14ac:dyDescent="0.35">
      <c r="A77" t="s">
        <v>104</v>
      </c>
      <c r="B77" s="3">
        <v>690</v>
      </c>
      <c r="C77" s="3">
        <v>1200</v>
      </c>
      <c r="D77" s="2" t="str">
        <f t="shared" si="4"/>
        <v>Low Price</v>
      </c>
      <c r="E77" s="2">
        <f t="shared" si="5"/>
        <v>510</v>
      </c>
      <c r="F77" s="1">
        <v>0.43</v>
      </c>
      <c r="G77" s="1" t="str">
        <f t="shared" si="6"/>
        <v>High Discount</v>
      </c>
      <c r="H77" t="s">
        <v>38</v>
      </c>
      <c r="I77" t="s">
        <v>38</v>
      </c>
      <c r="J77" t="str">
        <f t="shared" si="7"/>
        <v>Unknown</v>
      </c>
    </row>
    <row r="78" spans="1:10" x14ac:dyDescent="0.35">
      <c r="A78" t="s">
        <v>105</v>
      </c>
      <c r="B78" s="3">
        <v>1732</v>
      </c>
      <c r="C78" s="3">
        <v>1799</v>
      </c>
      <c r="D78" s="2" t="str">
        <f t="shared" si="4"/>
        <v>Low Price</v>
      </c>
      <c r="E78" s="2">
        <f t="shared" si="5"/>
        <v>67</v>
      </c>
      <c r="F78" s="1">
        <v>0.04</v>
      </c>
      <c r="G78" s="1" t="str">
        <f t="shared" si="6"/>
        <v>Low Discount</v>
      </c>
      <c r="H78" t="s">
        <v>38</v>
      </c>
      <c r="I78" t="s">
        <v>38</v>
      </c>
      <c r="J78" t="str">
        <f t="shared" si="7"/>
        <v>Unknown</v>
      </c>
    </row>
    <row r="79" spans="1:10" x14ac:dyDescent="0.35">
      <c r="A79" t="s">
        <v>106</v>
      </c>
      <c r="B79" s="3">
        <v>230</v>
      </c>
      <c r="C79" s="3">
        <v>450</v>
      </c>
      <c r="D79" s="2" t="str">
        <f t="shared" si="4"/>
        <v>Low Price</v>
      </c>
      <c r="E79" s="2">
        <f t="shared" si="5"/>
        <v>220</v>
      </c>
      <c r="F79" s="1">
        <v>0.49</v>
      </c>
      <c r="G79" s="1" t="str">
        <f t="shared" si="6"/>
        <v>High Discount</v>
      </c>
      <c r="H79" t="s">
        <v>38</v>
      </c>
      <c r="I79" t="s">
        <v>38</v>
      </c>
      <c r="J79" t="str">
        <f t="shared" si="7"/>
        <v>Unknown</v>
      </c>
    </row>
    <row r="80" spans="1:10" x14ac:dyDescent="0.35">
      <c r="A80" t="s">
        <v>107</v>
      </c>
      <c r="B80" s="3">
        <v>1189</v>
      </c>
      <c r="C80" s="3">
        <v>2199</v>
      </c>
      <c r="D80" s="2" t="str">
        <f t="shared" si="4"/>
        <v>Low Price</v>
      </c>
      <c r="E80" s="2">
        <f t="shared" si="5"/>
        <v>1010</v>
      </c>
      <c r="F80" s="1">
        <v>0.46</v>
      </c>
      <c r="G80" s="1" t="str">
        <f t="shared" si="6"/>
        <v>High Discount</v>
      </c>
      <c r="H80">
        <v>1</v>
      </c>
      <c r="I80">
        <v>3</v>
      </c>
      <c r="J80" t="str">
        <f t="shared" si="7"/>
        <v>Average</v>
      </c>
    </row>
    <row r="81" spans="1:10" x14ac:dyDescent="0.35">
      <c r="A81" t="s">
        <v>108</v>
      </c>
      <c r="B81" s="3">
        <v>979</v>
      </c>
      <c r="C81" s="3">
        <v>1920</v>
      </c>
      <c r="D81" s="2" t="str">
        <f t="shared" si="4"/>
        <v>Low Price</v>
      </c>
      <c r="E81" s="2">
        <f t="shared" si="5"/>
        <v>941</v>
      </c>
      <c r="F81" s="1">
        <v>0.49</v>
      </c>
      <c r="G81" s="1" t="str">
        <f t="shared" si="6"/>
        <v>High Discount</v>
      </c>
      <c r="H81">
        <v>1</v>
      </c>
      <c r="I81">
        <v>5</v>
      </c>
      <c r="J81" t="str">
        <f t="shared" si="7"/>
        <v>Excellent</v>
      </c>
    </row>
    <row r="82" spans="1:10" x14ac:dyDescent="0.35">
      <c r="A82" t="s">
        <v>109</v>
      </c>
      <c r="B82" s="3">
        <v>1460</v>
      </c>
      <c r="C82" s="3">
        <v>2290</v>
      </c>
      <c r="D82" s="2" t="str">
        <f t="shared" si="4"/>
        <v>Low Price</v>
      </c>
      <c r="E82" s="2">
        <f t="shared" si="5"/>
        <v>830</v>
      </c>
      <c r="F82" s="1">
        <v>0.36</v>
      </c>
      <c r="G82" s="1" t="str">
        <f t="shared" si="6"/>
        <v>Medium Discount</v>
      </c>
      <c r="H82" t="s">
        <v>38</v>
      </c>
      <c r="I82" t="s">
        <v>38</v>
      </c>
      <c r="J82" t="str">
        <f t="shared" si="7"/>
        <v>Unknown</v>
      </c>
    </row>
    <row r="83" spans="1:10" x14ac:dyDescent="0.35">
      <c r="A83" t="s">
        <v>110</v>
      </c>
      <c r="B83" s="3">
        <v>1666</v>
      </c>
      <c r="C83" s="3">
        <v>1699</v>
      </c>
      <c r="D83" s="2" t="str">
        <f t="shared" si="4"/>
        <v>Low Price</v>
      </c>
      <c r="E83" s="2">
        <f t="shared" si="5"/>
        <v>33</v>
      </c>
      <c r="F83" s="1">
        <v>0.02</v>
      </c>
      <c r="G83" s="1" t="str">
        <f t="shared" si="6"/>
        <v>Low Discount</v>
      </c>
      <c r="H83" t="s">
        <v>38</v>
      </c>
      <c r="I83" t="s">
        <v>38</v>
      </c>
      <c r="J83" t="str">
        <f t="shared" si="7"/>
        <v>Unknown</v>
      </c>
    </row>
    <row r="84" spans="1:10" x14ac:dyDescent="0.35">
      <c r="A84" t="s">
        <v>111</v>
      </c>
      <c r="B84" s="3">
        <v>330</v>
      </c>
      <c r="C84" s="3">
        <v>647</v>
      </c>
      <c r="D84" s="2" t="str">
        <f t="shared" si="4"/>
        <v>Low Price</v>
      </c>
      <c r="E84" s="2">
        <f t="shared" si="5"/>
        <v>317</v>
      </c>
      <c r="F84" s="1">
        <v>0.49</v>
      </c>
      <c r="G84" s="1" t="str">
        <f t="shared" si="6"/>
        <v>High Discount</v>
      </c>
      <c r="H84">
        <v>1</v>
      </c>
      <c r="I84">
        <v>4</v>
      </c>
      <c r="J84" t="str">
        <f t="shared" si="7"/>
        <v>Average</v>
      </c>
    </row>
    <row r="85" spans="1:10" x14ac:dyDescent="0.35">
      <c r="A85" t="s">
        <v>69</v>
      </c>
      <c r="B85" s="3">
        <v>176</v>
      </c>
      <c r="C85" s="3">
        <v>345</v>
      </c>
      <c r="D85" s="2" t="str">
        <f t="shared" si="4"/>
        <v>Low Price</v>
      </c>
      <c r="E85" s="2">
        <f t="shared" si="5"/>
        <v>169</v>
      </c>
      <c r="F85" s="1">
        <v>0.49</v>
      </c>
      <c r="G85" s="1" t="str">
        <f t="shared" si="6"/>
        <v>High Discount</v>
      </c>
      <c r="H85" t="s">
        <v>38</v>
      </c>
      <c r="I85" t="s">
        <v>38</v>
      </c>
      <c r="J85" t="str">
        <f t="shared" si="7"/>
        <v>Unknown</v>
      </c>
    </row>
    <row r="86" spans="1:10" x14ac:dyDescent="0.35">
      <c r="A86" t="s">
        <v>112</v>
      </c>
      <c r="B86" s="3">
        <v>1466</v>
      </c>
      <c r="C86" s="3">
        <v>1699</v>
      </c>
      <c r="D86" s="2" t="str">
        <f t="shared" si="4"/>
        <v>Low Price</v>
      </c>
      <c r="E86" s="2">
        <f t="shared" si="5"/>
        <v>233</v>
      </c>
      <c r="F86" s="1">
        <v>0.14000000000000001</v>
      </c>
      <c r="G86" s="1" t="str">
        <f t="shared" si="6"/>
        <v>Low Discount</v>
      </c>
      <c r="H86" t="s">
        <v>38</v>
      </c>
      <c r="I86" t="s">
        <v>38</v>
      </c>
      <c r="J86" t="str">
        <f t="shared" si="7"/>
        <v>Unknown</v>
      </c>
    </row>
    <row r="87" spans="1:10" x14ac:dyDescent="0.35">
      <c r="A87" t="s">
        <v>113</v>
      </c>
      <c r="B87" s="3">
        <v>274</v>
      </c>
      <c r="C87" s="3">
        <v>537</v>
      </c>
      <c r="D87" s="2" t="str">
        <f t="shared" si="4"/>
        <v>Low Price</v>
      </c>
      <c r="E87" s="2">
        <f t="shared" si="5"/>
        <v>263</v>
      </c>
      <c r="F87" s="1">
        <v>0.49</v>
      </c>
      <c r="G87" s="1" t="str">
        <f t="shared" si="6"/>
        <v>High Discount</v>
      </c>
      <c r="H87" t="s">
        <v>38</v>
      </c>
      <c r="I87" t="s">
        <v>38</v>
      </c>
      <c r="J87" t="str">
        <f t="shared" si="7"/>
        <v>Unknown</v>
      </c>
    </row>
    <row r="88" spans="1:10" x14ac:dyDescent="0.35">
      <c r="A88" t="s">
        <v>114</v>
      </c>
      <c r="B88" s="3">
        <v>799</v>
      </c>
      <c r="C88" s="3">
        <v>900</v>
      </c>
      <c r="D88" s="2" t="str">
        <f t="shared" si="4"/>
        <v>Low Price</v>
      </c>
      <c r="E88" s="2">
        <f t="shared" si="5"/>
        <v>101</v>
      </c>
      <c r="F88" s="1">
        <v>0.11</v>
      </c>
      <c r="G88" s="1" t="str">
        <f t="shared" si="6"/>
        <v>Low Discount</v>
      </c>
      <c r="H88" t="s">
        <v>38</v>
      </c>
      <c r="I88" t="s">
        <v>38</v>
      </c>
      <c r="J88" t="str">
        <f t="shared" si="7"/>
        <v>Unknown</v>
      </c>
    </row>
    <row r="89" spans="1:10" x14ac:dyDescent="0.35">
      <c r="A89" t="s">
        <v>77</v>
      </c>
      <c r="B89" s="3">
        <v>657</v>
      </c>
      <c r="C89" s="3">
        <v>1288</v>
      </c>
      <c r="D89" s="2" t="str">
        <f t="shared" si="4"/>
        <v>Low Price</v>
      </c>
      <c r="E89" s="2">
        <f t="shared" si="5"/>
        <v>631</v>
      </c>
      <c r="F89" s="1">
        <v>0.49</v>
      </c>
      <c r="G89" s="1" t="str">
        <f t="shared" si="6"/>
        <v>High Discount</v>
      </c>
      <c r="H89" t="s">
        <v>38</v>
      </c>
      <c r="I89" t="s">
        <v>38</v>
      </c>
      <c r="J89" t="str">
        <f t="shared" si="7"/>
        <v>Unknown</v>
      </c>
    </row>
    <row r="90" spans="1:10" x14ac:dyDescent="0.35">
      <c r="A90" t="s">
        <v>115</v>
      </c>
      <c r="B90" s="3">
        <v>1468</v>
      </c>
      <c r="C90" s="3">
        <v>1699</v>
      </c>
      <c r="D90" s="2" t="str">
        <f t="shared" si="4"/>
        <v>Low Price</v>
      </c>
      <c r="E90" s="2">
        <f t="shared" si="5"/>
        <v>231</v>
      </c>
      <c r="F90" s="1">
        <v>0.14000000000000001</v>
      </c>
      <c r="G90" s="1" t="str">
        <f t="shared" si="6"/>
        <v>Low Discount</v>
      </c>
      <c r="H90" t="s">
        <v>38</v>
      </c>
      <c r="I90" t="s">
        <v>38</v>
      </c>
      <c r="J90" t="str">
        <f t="shared" si="7"/>
        <v>Unknown</v>
      </c>
    </row>
    <row r="91" spans="1:10" x14ac:dyDescent="0.35">
      <c r="A91" t="s">
        <v>116</v>
      </c>
      <c r="B91" s="3">
        <v>630</v>
      </c>
      <c r="C91" s="3">
        <v>1100</v>
      </c>
      <c r="D91" s="2" t="str">
        <f t="shared" si="4"/>
        <v>Low Price</v>
      </c>
      <c r="E91" s="2">
        <f t="shared" si="5"/>
        <v>470</v>
      </c>
      <c r="F91" s="1">
        <v>0.43</v>
      </c>
      <c r="G91" s="1" t="str">
        <f t="shared" si="6"/>
        <v>High Discount</v>
      </c>
      <c r="H91" t="s">
        <v>38</v>
      </c>
      <c r="I91" t="s">
        <v>38</v>
      </c>
      <c r="J91" t="str">
        <f t="shared" si="7"/>
        <v>Unknown</v>
      </c>
    </row>
    <row r="92" spans="1:10" x14ac:dyDescent="0.35">
      <c r="A92" t="s">
        <v>117</v>
      </c>
      <c r="B92" s="3">
        <v>850</v>
      </c>
      <c r="C92" s="3">
        <v>1700</v>
      </c>
      <c r="D92" s="2" t="str">
        <f t="shared" si="4"/>
        <v>Low Price</v>
      </c>
      <c r="E92" s="2">
        <f t="shared" si="5"/>
        <v>850</v>
      </c>
      <c r="F92" s="1">
        <v>0.5</v>
      </c>
      <c r="G92" s="1" t="str">
        <f t="shared" si="6"/>
        <v>High Discount</v>
      </c>
      <c r="H92" t="s">
        <v>38</v>
      </c>
      <c r="I92" t="s">
        <v>38</v>
      </c>
      <c r="J92" t="str">
        <f t="shared" si="7"/>
        <v>Unknown</v>
      </c>
    </row>
    <row r="93" spans="1:10" x14ac:dyDescent="0.35">
      <c r="A93" t="s">
        <v>118</v>
      </c>
      <c r="B93" s="3">
        <v>1300</v>
      </c>
      <c r="C93" s="3">
        <v>2500</v>
      </c>
      <c r="D93" s="2" t="str">
        <f t="shared" si="4"/>
        <v>Low Price</v>
      </c>
      <c r="E93" s="2">
        <f t="shared" si="5"/>
        <v>1200</v>
      </c>
      <c r="F93" s="1">
        <v>0.48</v>
      </c>
      <c r="G93" s="1" t="str">
        <f t="shared" si="6"/>
        <v>High Discount</v>
      </c>
      <c r="H93" t="s">
        <v>38</v>
      </c>
      <c r="I93" t="s">
        <v>38</v>
      </c>
      <c r="J93" t="str">
        <f t="shared" si="7"/>
        <v>Unknown</v>
      </c>
    </row>
    <row r="94" spans="1:10" x14ac:dyDescent="0.35">
      <c r="A94" t="s">
        <v>119</v>
      </c>
      <c r="B94" s="3">
        <v>105</v>
      </c>
      <c r="C94" s="3">
        <v>200</v>
      </c>
      <c r="D94" s="2" t="str">
        <f t="shared" si="4"/>
        <v>Low Price</v>
      </c>
      <c r="E94" s="2">
        <f t="shared" si="5"/>
        <v>95</v>
      </c>
      <c r="F94" s="1">
        <v>0.48</v>
      </c>
      <c r="G94" s="1" t="str">
        <f t="shared" si="6"/>
        <v>High Discount</v>
      </c>
      <c r="H94" t="s">
        <v>38</v>
      </c>
      <c r="I94" t="s">
        <v>38</v>
      </c>
      <c r="J94" t="str">
        <f t="shared" si="7"/>
        <v>Unknown</v>
      </c>
    </row>
    <row r="95" spans="1:10" x14ac:dyDescent="0.35">
      <c r="A95" t="s">
        <v>120</v>
      </c>
      <c r="B95" s="3">
        <v>899</v>
      </c>
      <c r="C95" s="3">
        <v>1699</v>
      </c>
      <c r="D95" s="2" t="str">
        <f t="shared" si="4"/>
        <v>Low Price</v>
      </c>
      <c r="E95" s="2">
        <f t="shared" si="5"/>
        <v>800</v>
      </c>
      <c r="F95" s="1">
        <v>0.47</v>
      </c>
      <c r="G95" s="1" t="str">
        <f t="shared" si="6"/>
        <v>High Discount</v>
      </c>
      <c r="H95" t="s">
        <v>38</v>
      </c>
      <c r="I95" t="s">
        <v>38</v>
      </c>
      <c r="J95" t="str">
        <f t="shared" si="7"/>
        <v>Unknown</v>
      </c>
    </row>
    <row r="96" spans="1:10" x14ac:dyDescent="0.35">
      <c r="A96" t="s">
        <v>121</v>
      </c>
      <c r="B96" s="3">
        <v>1200</v>
      </c>
      <c r="C96" s="3">
        <v>2400</v>
      </c>
      <c r="D96" s="2" t="str">
        <f t="shared" si="4"/>
        <v>Low Price</v>
      </c>
      <c r="E96" s="2">
        <f t="shared" si="5"/>
        <v>1200</v>
      </c>
      <c r="F96" s="1">
        <v>0.5</v>
      </c>
      <c r="G96" s="1" t="str">
        <f t="shared" si="6"/>
        <v>High Discount</v>
      </c>
      <c r="H96" t="s">
        <v>38</v>
      </c>
      <c r="I96" t="s">
        <v>38</v>
      </c>
      <c r="J96" t="str">
        <f t="shared" si="7"/>
        <v>Unknown</v>
      </c>
    </row>
    <row r="97" spans="1:10" x14ac:dyDescent="0.35">
      <c r="A97" t="s">
        <v>122</v>
      </c>
      <c r="B97" s="3">
        <v>1526</v>
      </c>
      <c r="C97" s="3">
        <v>1660</v>
      </c>
      <c r="D97" s="2" t="str">
        <f t="shared" si="4"/>
        <v>Low Price</v>
      </c>
      <c r="E97" s="2">
        <f t="shared" si="5"/>
        <v>134</v>
      </c>
      <c r="F97" s="1">
        <v>0.08</v>
      </c>
      <c r="G97" s="1" t="str">
        <f t="shared" si="6"/>
        <v>Low Discount</v>
      </c>
      <c r="H97" t="s">
        <v>38</v>
      </c>
      <c r="I97" t="s">
        <v>38</v>
      </c>
      <c r="J97" t="str">
        <f t="shared" si="7"/>
        <v>Unknown</v>
      </c>
    </row>
    <row r="98" spans="1:10" x14ac:dyDescent="0.35">
      <c r="A98" t="s">
        <v>123</v>
      </c>
      <c r="B98" s="3">
        <v>1462</v>
      </c>
      <c r="C98" s="3">
        <v>1499</v>
      </c>
      <c r="D98" s="2" t="str">
        <f t="shared" si="4"/>
        <v>Low Price</v>
      </c>
      <c r="E98" s="2">
        <f t="shared" si="5"/>
        <v>37</v>
      </c>
      <c r="F98" s="1">
        <v>0.02</v>
      </c>
      <c r="G98" s="1" t="str">
        <f t="shared" si="6"/>
        <v>Low Discount</v>
      </c>
      <c r="H98" t="s">
        <v>38</v>
      </c>
      <c r="I98" t="s">
        <v>38</v>
      </c>
      <c r="J98" t="str">
        <f t="shared" si="7"/>
        <v>Unknown</v>
      </c>
    </row>
    <row r="99" spans="1:10" x14ac:dyDescent="0.35">
      <c r="A99" t="s">
        <v>124</v>
      </c>
      <c r="B99" s="3">
        <v>248</v>
      </c>
      <c r="C99" s="3">
        <v>486</v>
      </c>
      <c r="D99" s="2" t="str">
        <f t="shared" si="4"/>
        <v>Low Price</v>
      </c>
      <c r="E99" s="2">
        <f t="shared" si="5"/>
        <v>238</v>
      </c>
      <c r="F99" s="1">
        <v>0.49</v>
      </c>
      <c r="G99" s="1" t="str">
        <f t="shared" si="6"/>
        <v>High Discount</v>
      </c>
      <c r="H99" t="s">
        <v>38</v>
      </c>
      <c r="I99" t="s">
        <v>38</v>
      </c>
      <c r="J99" t="str">
        <f t="shared" si="7"/>
        <v>Unknown</v>
      </c>
    </row>
    <row r="100" spans="1:10" x14ac:dyDescent="0.35">
      <c r="A100" t="s">
        <v>125</v>
      </c>
      <c r="B100" s="3">
        <v>3546</v>
      </c>
      <c r="C100" s="3">
        <v>3699</v>
      </c>
      <c r="D100" s="2" t="str">
        <f t="shared" si="4"/>
        <v>High Price</v>
      </c>
      <c r="E100" s="2">
        <f t="shared" si="5"/>
        <v>153</v>
      </c>
      <c r="F100" s="1">
        <v>0.04</v>
      </c>
      <c r="G100" s="1" t="str">
        <f t="shared" si="6"/>
        <v>Low Discount</v>
      </c>
      <c r="H100" t="s">
        <v>38</v>
      </c>
      <c r="I100" t="s">
        <v>38</v>
      </c>
      <c r="J100" t="str">
        <f t="shared" si="7"/>
        <v>Unknown</v>
      </c>
    </row>
    <row r="101" spans="1:10" x14ac:dyDescent="0.35">
      <c r="A101" t="s">
        <v>126</v>
      </c>
      <c r="B101" s="3">
        <v>525</v>
      </c>
      <c r="C101" s="3">
        <v>1029</v>
      </c>
      <c r="D101" s="2" t="str">
        <f t="shared" si="4"/>
        <v>Low Price</v>
      </c>
      <c r="E101" s="2">
        <f t="shared" si="5"/>
        <v>504</v>
      </c>
      <c r="F101" s="1">
        <v>0.49</v>
      </c>
      <c r="G101" s="1" t="str">
        <f t="shared" si="6"/>
        <v>High Discount</v>
      </c>
      <c r="H101" t="s">
        <v>38</v>
      </c>
      <c r="I101" t="s">
        <v>38</v>
      </c>
      <c r="J101" t="str">
        <f t="shared" si="7"/>
        <v>Unknown</v>
      </c>
    </row>
    <row r="102" spans="1:10" x14ac:dyDescent="0.35">
      <c r="A102" t="s">
        <v>127</v>
      </c>
      <c r="B102" s="3">
        <v>1080</v>
      </c>
      <c r="C102" s="3">
        <v>1874</v>
      </c>
      <c r="D102" s="2" t="str">
        <f t="shared" si="4"/>
        <v>Low Price</v>
      </c>
      <c r="E102" s="2">
        <f t="shared" si="5"/>
        <v>794</v>
      </c>
      <c r="F102" s="1">
        <v>0.42</v>
      </c>
      <c r="G102" s="1" t="str">
        <f t="shared" si="6"/>
        <v>High Discount</v>
      </c>
      <c r="H102" t="s">
        <v>38</v>
      </c>
      <c r="I102" t="s">
        <v>38</v>
      </c>
      <c r="J102" t="str">
        <f t="shared" si="7"/>
        <v>Unknown</v>
      </c>
    </row>
    <row r="103" spans="1:10" x14ac:dyDescent="0.35">
      <c r="A103" t="s">
        <v>128</v>
      </c>
      <c r="B103" s="3">
        <v>3640</v>
      </c>
      <c r="C103" s="3">
        <v>4588</v>
      </c>
      <c r="D103" s="2" t="str">
        <f t="shared" si="4"/>
        <v>High Price</v>
      </c>
      <c r="E103" s="2">
        <f t="shared" si="5"/>
        <v>948</v>
      </c>
      <c r="F103" s="1">
        <v>0.21</v>
      </c>
      <c r="G103" s="1" t="str">
        <f t="shared" si="6"/>
        <v>Medium Discount</v>
      </c>
      <c r="H103">
        <v>1</v>
      </c>
      <c r="I103">
        <v>5</v>
      </c>
      <c r="J103" t="str">
        <f t="shared" si="7"/>
        <v>Excellent</v>
      </c>
    </row>
    <row r="104" spans="1:10" x14ac:dyDescent="0.35">
      <c r="A104" t="s">
        <v>129</v>
      </c>
      <c r="B104" s="3">
        <v>1420</v>
      </c>
      <c r="C104" s="3">
        <v>2420</v>
      </c>
      <c r="D104" s="2" t="str">
        <f t="shared" si="4"/>
        <v>Low Price</v>
      </c>
      <c r="E104" s="2">
        <f t="shared" si="5"/>
        <v>1000</v>
      </c>
      <c r="F104" s="1">
        <v>0.41</v>
      </c>
      <c r="G104" s="1" t="str">
        <f t="shared" si="6"/>
        <v>High Discount</v>
      </c>
      <c r="H104" t="s">
        <v>38</v>
      </c>
      <c r="I104" t="s">
        <v>38</v>
      </c>
      <c r="J104" t="str">
        <f t="shared" si="7"/>
        <v>Unknown</v>
      </c>
    </row>
    <row r="105" spans="1:10" x14ac:dyDescent="0.35">
      <c r="A105" t="s">
        <v>130</v>
      </c>
      <c r="B105" s="3">
        <v>1875</v>
      </c>
      <c r="C105" s="3">
        <v>1899</v>
      </c>
      <c r="D105" s="2" t="str">
        <f t="shared" si="4"/>
        <v>Low Price</v>
      </c>
      <c r="E105" s="2">
        <f t="shared" si="5"/>
        <v>24</v>
      </c>
      <c r="F105" s="1">
        <v>0.01</v>
      </c>
      <c r="G105" s="1" t="str">
        <f t="shared" si="6"/>
        <v>Low Discount</v>
      </c>
      <c r="H105" t="s">
        <v>38</v>
      </c>
      <c r="I105" t="s">
        <v>38</v>
      </c>
      <c r="J105" t="str">
        <f t="shared" si="7"/>
        <v>Unknown</v>
      </c>
    </row>
    <row r="106" spans="1:10" x14ac:dyDescent="0.35">
      <c r="A106" t="s">
        <v>131</v>
      </c>
      <c r="B106" s="3">
        <v>198</v>
      </c>
      <c r="C106" s="3">
        <v>260</v>
      </c>
      <c r="D106" s="2" t="str">
        <f t="shared" si="4"/>
        <v>Low Price</v>
      </c>
      <c r="E106" s="2">
        <f t="shared" si="5"/>
        <v>62</v>
      </c>
      <c r="F106" s="1">
        <v>0.24</v>
      </c>
      <c r="G106" s="1" t="str">
        <f t="shared" si="6"/>
        <v>Medium Discount</v>
      </c>
      <c r="H106" t="s">
        <v>38</v>
      </c>
      <c r="I106" t="s">
        <v>38</v>
      </c>
      <c r="J106" t="str">
        <f t="shared" si="7"/>
        <v>Unknown</v>
      </c>
    </row>
    <row r="107" spans="1:10" x14ac:dyDescent="0.35">
      <c r="A107" t="s">
        <v>132</v>
      </c>
      <c r="B107" s="3">
        <v>1150</v>
      </c>
      <c r="C107" s="3">
        <v>1737</v>
      </c>
      <c r="D107" s="2" t="str">
        <f t="shared" si="4"/>
        <v>Low Price</v>
      </c>
      <c r="E107" s="2">
        <f t="shared" si="5"/>
        <v>587</v>
      </c>
      <c r="F107" s="1">
        <v>0.34</v>
      </c>
      <c r="G107" s="1" t="str">
        <f t="shared" si="6"/>
        <v>Medium Discount</v>
      </c>
      <c r="H107" t="s">
        <v>38</v>
      </c>
      <c r="I107" t="s">
        <v>38</v>
      </c>
      <c r="J107" t="str">
        <f t="shared" si="7"/>
        <v>Unknown</v>
      </c>
    </row>
    <row r="108" spans="1:10" x14ac:dyDescent="0.35">
      <c r="A108" t="s">
        <v>133</v>
      </c>
      <c r="B108" s="3">
        <v>1190</v>
      </c>
      <c r="C108" s="3">
        <v>1810</v>
      </c>
      <c r="D108" s="2" t="str">
        <f t="shared" si="4"/>
        <v>Low Price</v>
      </c>
      <c r="E108" s="2">
        <f t="shared" si="5"/>
        <v>620</v>
      </c>
      <c r="F108" s="1">
        <v>0.34</v>
      </c>
      <c r="G108" s="1" t="str">
        <f t="shared" si="6"/>
        <v>Medium Discount</v>
      </c>
      <c r="H108" t="s">
        <v>38</v>
      </c>
      <c r="I108" t="s">
        <v>38</v>
      </c>
      <c r="J108" t="str">
        <f t="shared" si="7"/>
        <v>Unknown</v>
      </c>
    </row>
    <row r="109" spans="1:10" x14ac:dyDescent="0.35">
      <c r="A109" t="s">
        <v>134</v>
      </c>
      <c r="B109" s="3">
        <v>1658</v>
      </c>
      <c r="C109" s="3">
        <v>1699</v>
      </c>
      <c r="D109" s="2" t="str">
        <f t="shared" si="4"/>
        <v>Low Price</v>
      </c>
      <c r="E109" s="2">
        <f t="shared" si="5"/>
        <v>41</v>
      </c>
      <c r="F109" s="1">
        <v>0.02</v>
      </c>
      <c r="G109" s="1" t="str">
        <f t="shared" si="6"/>
        <v>Low Discount</v>
      </c>
      <c r="H109" t="s">
        <v>38</v>
      </c>
      <c r="I109" t="s">
        <v>38</v>
      </c>
      <c r="J109" t="str">
        <f t="shared" si="7"/>
        <v>Unknown</v>
      </c>
    </row>
    <row r="110" spans="1:10" x14ac:dyDescent="0.35">
      <c r="A110" t="s">
        <v>135</v>
      </c>
      <c r="B110" s="3">
        <v>1768</v>
      </c>
      <c r="C110" s="3">
        <v>1799</v>
      </c>
      <c r="D110" s="2" t="str">
        <f t="shared" si="4"/>
        <v>Low Price</v>
      </c>
      <c r="E110" s="2">
        <f t="shared" si="5"/>
        <v>31</v>
      </c>
      <c r="F110" s="1">
        <v>0.02</v>
      </c>
      <c r="G110" s="1" t="str">
        <f t="shared" si="6"/>
        <v>Low Discount</v>
      </c>
      <c r="H110" t="s">
        <v>38</v>
      </c>
      <c r="I110" t="s">
        <v>38</v>
      </c>
      <c r="J110" t="str">
        <f t="shared" si="7"/>
        <v>Unknown</v>
      </c>
    </row>
    <row r="111" spans="1:10" x14ac:dyDescent="0.35">
      <c r="A111" t="s">
        <v>136</v>
      </c>
      <c r="B111" s="3">
        <v>199</v>
      </c>
      <c r="C111" s="3">
        <v>553</v>
      </c>
      <c r="D111" s="2" t="str">
        <f t="shared" si="4"/>
        <v>Low Price</v>
      </c>
      <c r="E111" s="2">
        <f t="shared" si="5"/>
        <v>354</v>
      </c>
      <c r="F111" s="1">
        <v>0.64</v>
      </c>
      <c r="G111" s="1" t="str">
        <f t="shared" si="6"/>
        <v>High Discount</v>
      </c>
      <c r="H111" t="s">
        <v>38</v>
      </c>
      <c r="I111" t="s">
        <v>38</v>
      </c>
      <c r="J111" t="str">
        <f t="shared" si="7"/>
        <v>Unknown</v>
      </c>
    </row>
    <row r="112" spans="1:10" x14ac:dyDescent="0.35">
      <c r="A112" t="s">
        <v>137</v>
      </c>
      <c r="B112" s="3">
        <v>450</v>
      </c>
      <c r="C112" s="3">
        <v>900</v>
      </c>
      <c r="D112" s="2" t="str">
        <f t="shared" si="4"/>
        <v>Low Price</v>
      </c>
      <c r="E112" s="2">
        <f t="shared" si="5"/>
        <v>450</v>
      </c>
      <c r="F112" s="1">
        <v>0.5</v>
      </c>
      <c r="G112" s="1" t="str">
        <f t="shared" si="6"/>
        <v>High Discount</v>
      </c>
      <c r="H112">
        <v>1</v>
      </c>
      <c r="I112">
        <v>2</v>
      </c>
      <c r="J112" t="str">
        <f t="shared" si="7"/>
        <v>Poor</v>
      </c>
    </row>
    <row r="113" spans="1:10" x14ac:dyDescent="0.35">
      <c r="A113" t="s">
        <v>139</v>
      </c>
      <c r="B113" s="3">
        <v>169</v>
      </c>
      <c r="C113" s="3">
        <v>320</v>
      </c>
      <c r="D113" s="2" t="str">
        <f t="shared" si="4"/>
        <v>Low Price</v>
      </c>
      <c r="E113" s="2">
        <f t="shared" si="5"/>
        <v>151</v>
      </c>
      <c r="F113" s="1">
        <v>0.47</v>
      </c>
      <c r="G113" s="1" t="str">
        <f t="shared" si="6"/>
        <v>High Discount</v>
      </c>
      <c r="H113" t="s">
        <v>38</v>
      </c>
      <c r="I113" t="s">
        <v>38</v>
      </c>
      <c r="J113" t="str">
        <f t="shared" si="7"/>
        <v>Unknown</v>
      </c>
    </row>
    <row r="114" spans="1:10" x14ac:dyDescent="0.35">
      <c r="F114" s="1"/>
      <c r="G114" s="1"/>
    </row>
    <row r="115" spans="1:10" ht="15" thickBot="1" x14ac:dyDescent="0.4">
      <c r="A115" s="7">
        <f>COUNTA(A2:A113)</f>
        <v>112</v>
      </c>
      <c r="B115" s="8">
        <f>AVERAGE(B2:B113)</f>
        <v>1186.8928571428571</v>
      </c>
      <c r="C115" s="8">
        <f>AVERAGE(C2:C113)</f>
        <v>1811.1071428571429</v>
      </c>
      <c r="D115" s="9"/>
      <c r="E115" s="9"/>
      <c r="F115" s="10">
        <f>AVERAGE(F2:F113)</f>
        <v>0.36776785714285715</v>
      </c>
      <c r="G115" s="7"/>
      <c r="H115" s="7">
        <f>SUM(H2:H113)</f>
        <v>723</v>
      </c>
      <c r="I115" s="7">
        <f>AVERAGE(I2:I113)</f>
        <v>3.8894736842105258</v>
      </c>
    </row>
    <row r="116" spans="1:10" ht="15.5" thickTop="1" thickBot="1" x14ac:dyDescent="0.4">
      <c r="B116" s="11">
        <f>MAX(B2:B113)</f>
        <v>3750</v>
      </c>
    </row>
    <row r="117" spans="1:10" ht="15.5" thickTop="1" thickBot="1" x14ac:dyDescent="0.4">
      <c r="B117" s="11">
        <f>MIN(B2:B113)</f>
        <v>38</v>
      </c>
    </row>
    <row r="118" spans="1:10" ht="15" thickTop="1" x14ac:dyDescent="0.35"/>
    <row r="120" spans="1:10" ht="15.5" x14ac:dyDescent="0.35">
      <c r="A120" s="5" t="s">
        <v>144</v>
      </c>
    </row>
    <row r="122" spans="1:10" x14ac:dyDescent="0.35">
      <c r="A122" s="4" t="s">
        <v>145</v>
      </c>
      <c r="B122" s="12">
        <v>1186.8928571428571</v>
      </c>
    </row>
    <row r="123" spans="1:10" x14ac:dyDescent="0.35">
      <c r="A123" s="4" t="s">
        <v>146</v>
      </c>
      <c r="B123" s="12">
        <f>AVERAGE(B10:B121)</f>
        <v>1164.5317089452603</v>
      </c>
    </row>
    <row r="124" spans="1:10" x14ac:dyDescent="0.35">
      <c r="A124" s="4" t="s">
        <v>147</v>
      </c>
      <c r="B124" s="13">
        <v>0.36776785714285715</v>
      </c>
    </row>
    <row r="125" spans="1:10" x14ac:dyDescent="0.35">
      <c r="A125" s="4" t="s">
        <v>148</v>
      </c>
      <c r="B125" s="12">
        <v>3.8894736842105258</v>
      </c>
    </row>
    <row r="126" spans="1:10" x14ac:dyDescent="0.35">
      <c r="A126" s="4" t="s">
        <v>149</v>
      </c>
      <c r="B126" s="12">
        <v>112</v>
      </c>
    </row>
    <row r="127" spans="1:10" x14ac:dyDescent="0.35">
      <c r="A127" s="4" t="s">
        <v>150</v>
      </c>
      <c r="B127" s="12">
        <v>723</v>
      </c>
    </row>
    <row r="128" spans="1:10" x14ac:dyDescent="0.35">
      <c r="A128" s="4" t="s">
        <v>152</v>
      </c>
      <c r="B128" s="12">
        <v>3750</v>
      </c>
    </row>
    <row r="129" spans="1:2" x14ac:dyDescent="0.35">
      <c r="A129" s="4" t="s">
        <v>153</v>
      </c>
      <c r="B129" s="12">
        <v>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B7B95-DE2E-4CC4-BABC-79AB4A449DFE}">
  <dimension ref="A1:J129"/>
  <sheetViews>
    <sheetView workbookViewId="0">
      <selection activeCell="A12" sqref="A12"/>
    </sheetView>
  </sheetViews>
  <sheetFormatPr defaultRowHeight="14.5" x14ac:dyDescent="0.35"/>
  <cols>
    <col min="1" max="1" width="89.1796875" bestFit="1" customWidth="1"/>
    <col min="2" max="2" width="12.90625" style="2" bestFit="1" customWidth="1"/>
    <col min="3" max="3" width="9" style="2" bestFit="1" customWidth="1"/>
    <col min="4" max="4" width="14" style="2" bestFit="1" customWidth="1"/>
    <col min="5" max="5" width="16.81640625" style="2" bestFit="1" customWidth="1"/>
    <col min="6" max="6" width="8.81640625" bestFit="1" customWidth="1"/>
    <col min="7" max="7" width="17.54296875" bestFit="1" customWidth="1"/>
    <col min="8" max="8" width="7.453125" bestFit="1" customWidth="1"/>
    <col min="9" max="9" width="6.6328125" bestFit="1" customWidth="1"/>
    <col min="10" max="10" width="15.26953125" bestFit="1" customWidth="1"/>
  </cols>
  <sheetData>
    <row r="1" spans="1:10" s="5" customFormat="1" ht="15.5" x14ac:dyDescent="0.35">
      <c r="A1" s="5" t="s">
        <v>0</v>
      </c>
      <c r="B1" s="6" t="s">
        <v>1</v>
      </c>
      <c r="C1" s="6" t="s">
        <v>2</v>
      </c>
      <c r="D1" s="6" t="s">
        <v>140</v>
      </c>
      <c r="E1" s="6" t="s">
        <v>142</v>
      </c>
      <c r="F1" s="5" t="s">
        <v>3</v>
      </c>
      <c r="G1" s="6" t="s">
        <v>141</v>
      </c>
      <c r="H1" s="5" t="s">
        <v>4</v>
      </c>
      <c r="I1" s="5" t="s">
        <v>5</v>
      </c>
      <c r="J1" s="5" t="s">
        <v>143</v>
      </c>
    </row>
    <row r="2" spans="1:10" x14ac:dyDescent="0.35">
      <c r="A2" t="s">
        <v>151</v>
      </c>
      <c r="B2" s="3">
        <v>950</v>
      </c>
      <c r="C2" s="3">
        <v>1525</v>
      </c>
      <c r="D2" s="2" t="str">
        <f>IF(B2&gt;3000,"High Price",IF(B2&gt;=2000,"Medium Price","Low Price"))</f>
        <v>Low Price</v>
      </c>
      <c r="E2" s="2">
        <f>C2-B2</f>
        <v>575</v>
      </c>
      <c r="F2" s="1">
        <v>0.38</v>
      </c>
      <c r="G2" s="1" t="str">
        <f>IF(F2&lt;20%,"Low Discount",IF(F2&lt;=40%,"Medium Discount","High Discount"))</f>
        <v>Medium Discount</v>
      </c>
      <c r="H2">
        <v>2</v>
      </c>
      <c r="I2">
        <v>4.5</v>
      </c>
      <c r="J2" t="str">
        <f>IF(I2="Unknown","Unknown",IF(I2&lt;3,"Poor",IF(I2&lt;=4.5,"Average","Excellent")))</f>
        <v>Average</v>
      </c>
    </row>
    <row r="3" spans="1:10" x14ac:dyDescent="0.35">
      <c r="A3" t="s">
        <v>8</v>
      </c>
      <c r="B3" s="3">
        <v>527</v>
      </c>
      <c r="C3" s="3">
        <v>999</v>
      </c>
      <c r="D3" s="2" t="str">
        <f t="shared" ref="D3:D66" si="0">IF(B3&gt;3000,"High Price",IF(B3&gt;=2000,"Medium Price","Low Price"))</f>
        <v>Low Price</v>
      </c>
      <c r="E3" s="2">
        <f t="shared" ref="E3:E66" si="1">C3-B3</f>
        <v>472</v>
      </c>
      <c r="F3" s="1">
        <v>0.47</v>
      </c>
      <c r="G3" s="1" t="str">
        <f t="shared" ref="G3:G66" si="2">IF(F3&lt;20%,"Low Discount",IF(F3&lt;=40%,"Medium Discount","High Discount"))</f>
        <v>High Discount</v>
      </c>
      <c r="H3">
        <v>14</v>
      </c>
      <c r="I3">
        <v>4.0999999999999996</v>
      </c>
      <c r="J3" t="str">
        <f t="shared" ref="J3:J66" si="3">IF(I3="Unknown","Unknown",IF(I3&lt;3,"Poor",IF(I3&lt;=4.5,"Average","Excellent")))</f>
        <v>Average</v>
      </c>
    </row>
    <row r="4" spans="1:10" x14ac:dyDescent="0.35">
      <c r="A4" t="s">
        <v>10</v>
      </c>
      <c r="B4" s="3">
        <v>2199</v>
      </c>
      <c r="C4" s="3">
        <v>2923</v>
      </c>
      <c r="D4" s="2" t="str">
        <f t="shared" si="0"/>
        <v>Medium Price</v>
      </c>
      <c r="E4" s="2">
        <f t="shared" si="1"/>
        <v>724</v>
      </c>
      <c r="F4" s="1">
        <v>0.25</v>
      </c>
      <c r="G4" s="1" t="str">
        <f t="shared" si="2"/>
        <v>Medium Discount</v>
      </c>
      <c r="H4">
        <v>24</v>
      </c>
      <c r="I4">
        <v>4.5999999999999996</v>
      </c>
      <c r="J4" t="str">
        <f t="shared" si="3"/>
        <v>Excellent</v>
      </c>
    </row>
    <row r="5" spans="1:10" x14ac:dyDescent="0.35">
      <c r="A5" t="s">
        <v>12</v>
      </c>
      <c r="B5" s="3">
        <v>1580</v>
      </c>
      <c r="C5" s="3">
        <v>2499</v>
      </c>
      <c r="D5" s="2" t="str">
        <f t="shared" si="0"/>
        <v>Low Price</v>
      </c>
      <c r="E5" s="2">
        <f t="shared" si="1"/>
        <v>919</v>
      </c>
      <c r="F5" s="1">
        <v>0.37</v>
      </c>
      <c r="G5" s="1" t="str">
        <f t="shared" si="2"/>
        <v>Medium Discount</v>
      </c>
      <c r="H5">
        <v>7</v>
      </c>
      <c r="I5">
        <v>4.7</v>
      </c>
      <c r="J5" t="str">
        <f t="shared" si="3"/>
        <v>Excellent</v>
      </c>
    </row>
    <row r="6" spans="1:10" x14ac:dyDescent="0.35">
      <c r="A6" t="s">
        <v>14</v>
      </c>
      <c r="B6" s="3">
        <v>1740</v>
      </c>
      <c r="C6" s="3">
        <v>2356</v>
      </c>
      <c r="D6" s="2" t="str">
        <f t="shared" si="0"/>
        <v>Low Price</v>
      </c>
      <c r="E6" s="2">
        <f t="shared" si="1"/>
        <v>616</v>
      </c>
      <c r="F6" s="1">
        <v>0.26</v>
      </c>
      <c r="G6" s="1" t="str">
        <f t="shared" si="2"/>
        <v>Medium Discount</v>
      </c>
      <c r="H6">
        <v>5</v>
      </c>
      <c r="I6">
        <v>4.8</v>
      </c>
      <c r="J6" t="str">
        <f t="shared" si="3"/>
        <v>Excellent</v>
      </c>
    </row>
    <row r="7" spans="1:10" x14ac:dyDescent="0.35">
      <c r="A7" t="s">
        <v>16</v>
      </c>
      <c r="B7" s="3">
        <v>2999</v>
      </c>
      <c r="C7" s="3">
        <v>3290</v>
      </c>
      <c r="D7" s="2" t="str">
        <f t="shared" si="0"/>
        <v>Medium Price</v>
      </c>
      <c r="E7" s="2">
        <f t="shared" si="1"/>
        <v>291</v>
      </c>
      <c r="F7" s="1">
        <v>0.09</v>
      </c>
      <c r="G7" s="1" t="str">
        <f t="shared" si="2"/>
        <v>Low Discount</v>
      </c>
      <c r="H7">
        <v>15</v>
      </c>
      <c r="I7">
        <v>4</v>
      </c>
      <c r="J7" t="str">
        <f t="shared" si="3"/>
        <v>Average</v>
      </c>
    </row>
    <row r="8" spans="1:10" x14ac:dyDescent="0.35">
      <c r="A8" t="s">
        <v>18</v>
      </c>
      <c r="B8" s="3">
        <v>2319</v>
      </c>
      <c r="C8" s="3">
        <v>3032</v>
      </c>
      <c r="D8" s="2" t="str">
        <f t="shared" si="0"/>
        <v>Medium Price</v>
      </c>
      <c r="E8" s="2">
        <f t="shared" si="1"/>
        <v>713</v>
      </c>
      <c r="F8" s="1">
        <v>0.24</v>
      </c>
      <c r="G8" s="1" t="str">
        <f t="shared" si="2"/>
        <v>Medium Discount</v>
      </c>
      <c r="H8">
        <v>55</v>
      </c>
      <c r="I8">
        <v>4.5999999999999996</v>
      </c>
      <c r="J8" t="str">
        <f t="shared" si="3"/>
        <v>Excellent</v>
      </c>
    </row>
    <row r="9" spans="1:10" x14ac:dyDescent="0.35">
      <c r="A9" t="s">
        <v>19</v>
      </c>
      <c r="B9" s="3">
        <v>988</v>
      </c>
      <c r="C9" s="3">
        <v>1580</v>
      </c>
      <c r="D9" s="2" t="str">
        <f t="shared" si="0"/>
        <v>Low Price</v>
      </c>
      <c r="E9" s="2">
        <f t="shared" si="1"/>
        <v>592</v>
      </c>
      <c r="F9" s="1">
        <v>0.37</v>
      </c>
      <c r="G9" s="1" t="str">
        <f t="shared" si="2"/>
        <v>Medium Discount</v>
      </c>
      <c r="H9">
        <v>2</v>
      </c>
      <c r="I9">
        <v>4</v>
      </c>
      <c r="J9" t="str">
        <f t="shared" si="3"/>
        <v>Average</v>
      </c>
    </row>
    <row r="10" spans="1:10" x14ac:dyDescent="0.35">
      <c r="A10" t="s">
        <v>20</v>
      </c>
      <c r="B10" s="3">
        <v>1274</v>
      </c>
      <c r="C10" s="3">
        <v>2800</v>
      </c>
      <c r="D10" s="2" t="str">
        <f t="shared" si="0"/>
        <v>Low Price</v>
      </c>
      <c r="E10" s="2">
        <f t="shared" si="1"/>
        <v>1526</v>
      </c>
      <c r="F10" s="1">
        <v>0.55000000000000004</v>
      </c>
      <c r="G10" s="1" t="str">
        <f t="shared" si="2"/>
        <v>High Discount</v>
      </c>
      <c r="H10">
        <v>5</v>
      </c>
      <c r="I10">
        <v>4.8</v>
      </c>
      <c r="J10" t="str">
        <f t="shared" si="3"/>
        <v>Excellent</v>
      </c>
    </row>
    <row r="11" spans="1:10" x14ac:dyDescent="0.35">
      <c r="A11" t="s">
        <v>21</v>
      </c>
      <c r="B11" s="3">
        <v>1600</v>
      </c>
      <c r="C11" s="3">
        <v>2929</v>
      </c>
      <c r="D11" s="2" t="str">
        <f t="shared" si="0"/>
        <v>Low Price</v>
      </c>
      <c r="E11" s="2">
        <f t="shared" si="1"/>
        <v>1329</v>
      </c>
      <c r="F11" s="1">
        <v>0.45</v>
      </c>
      <c r="G11" s="1" t="str">
        <f t="shared" si="2"/>
        <v>High Discount</v>
      </c>
      <c r="H11">
        <v>5</v>
      </c>
      <c r="I11">
        <v>3.8</v>
      </c>
      <c r="J11" t="str">
        <f t="shared" si="3"/>
        <v>Average</v>
      </c>
    </row>
    <row r="12" spans="1:10" x14ac:dyDescent="0.35">
      <c r="A12" t="s">
        <v>23</v>
      </c>
      <c r="B12" s="3">
        <v>799</v>
      </c>
      <c r="C12" s="3">
        <v>999</v>
      </c>
      <c r="D12" s="2" t="str">
        <f t="shared" si="0"/>
        <v>Low Price</v>
      </c>
      <c r="E12" s="2">
        <f t="shared" si="1"/>
        <v>200</v>
      </c>
      <c r="F12" s="1">
        <v>0.2</v>
      </c>
      <c r="G12" s="1" t="str">
        <f t="shared" si="2"/>
        <v>Medium Discount</v>
      </c>
      <c r="H12">
        <v>12</v>
      </c>
      <c r="I12">
        <v>4.0999999999999996</v>
      </c>
      <c r="J12" t="str">
        <f t="shared" si="3"/>
        <v>Average</v>
      </c>
    </row>
    <row r="13" spans="1:10" x14ac:dyDescent="0.35">
      <c r="A13" t="s">
        <v>24</v>
      </c>
      <c r="B13" s="3">
        <v>990</v>
      </c>
      <c r="C13" s="3">
        <v>1500</v>
      </c>
      <c r="D13" s="2" t="str">
        <f t="shared" si="0"/>
        <v>Low Price</v>
      </c>
      <c r="E13" s="2">
        <f t="shared" si="1"/>
        <v>510</v>
      </c>
      <c r="F13" s="1">
        <v>0.34</v>
      </c>
      <c r="G13" s="1" t="str">
        <f t="shared" si="2"/>
        <v>Medium Discount</v>
      </c>
      <c r="H13">
        <v>39</v>
      </c>
      <c r="I13">
        <v>4.7</v>
      </c>
      <c r="J13" t="str">
        <f t="shared" si="3"/>
        <v>Excellent</v>
      </c>
    </row>
    <row r="14" spans="1:10" x14ac:dyDescent="0.35">
      <c r="A14" t="s">
        <v>25</v>
      </c>
      <c r="B14" s="3">
        <v>552</v>
      </c>
      <c r="C14" s="3">
        <v>1035</v>
      </c>
      <c r="D14" s="2" t="str">
        <f t="shared" si="0"/>
        <v>Low Price</v>
      </c>
      <c r="E14" s="2">
        <f t="shared" si="1"/>
        <v>483</v>
      </c>
      <c r="F14" s="1">
        <v>0.47</v>
      </c>
      <c r="G14" s="1" t="str">
        <f t="shared" si="2"/>
        <v>High Discount</v>
      </c>
      <c r="H14">
        <v>12</v>
      </c>
      <c r="I14">
        <v>4.8</v>
      </c>
      <c r="J14" t="str">
        <f t="shared" si="3"/>
        <v>Excellent</v>
      </c>
    </row>
    <row r="15" spans="1:10" x14ac:dyDescent="0.35">
      <c r="A15" t="s">
        <v>26</v>
      </c>
      <c r="B15" s="3">
        <v>501</v>
      </c>
      <c r="C15" s="3">
        <v>860</v>
      </c>
      <c r="D15" s="2" t="str">
        <f t="shared" si="0"/>
        <v>Low Price</v>
      </c>
      <c r="E15" s="2">
        <f t="shared" si="1"/>
        <v>359</v>
      </c>
      <c r="F15" s="1">
        <v>0.42</v>
      </c>
      <c r="G15" s="1" t="str">
        <f t="shared" si="2"/>
        <v>High Discount</v>
      </c>
      <c r="H15">
        <v>6</v>
      </c>
      <c r="I15">
        <v>4.5</v>
      </c>
      <c r="J15" t="str">
        <f t="shared" si="3"/>
        <v>Average</v>
      </c>
    </row>
    <row r="16" spans="1:10" x14ac:dyDescent="0.35">
      <c r="A16" t="s">
        <v>27</v>
      </c>
      <c r="B16" s="3">
        <v>1680</v>
      </c>
      <c r="C16" s="3">
        <v>2499</v>
      </c>
      <c r="D16" s="2" t="str">
        <f t="shared" si="0"/>
        <v>Low Price</v>
      </c>
      <c r="E16" s="2">
        <f t="shared" si="1"/>
        <v>819</v>
      </c>
      <c r="F16" s="1">
        <v>0.33</v>
      </c>
      <c r="G16" s="1" t="str">
        <f t="shared" si="2"/>
        <v>Medium Discount</v>
      </c>
      <c r="H16">
        <v>9</v>
      </c>
      <c r="I16">
        <v>4.2</v>
      </c>
      <c r="J16" t="str">
        <f t="shared" si="3"/>
        <v>Average</v>
      </c>
    </row>
    <row r="17" spans="1:10" x14ac:dyDescent="0.35">
      <c r="A17" t="s">
        <v>29</v>
      </c>
      <c r="B17" s="3">
        <v>332</v>
      </c>
      <c r="C17" s="3">
        <v>684</v>
      </c>
      <c r="D17" s="2" t="str">
        <f t="shared" si="0"/>
        <v>Low Price</v>
      </c>
      <c r="E17" s="2">
        <f t="shared" si="1"/>
        <v>352</v>
      </c>
      <c r="F17" s="1">
        <v>0.51</v>
      </c>
      <c r="G17" s="1" t="str">
        <f t="shared" si="2"/>
        <v>High Discount</v>
      </c>
      <c r="H17">
        <v>2</v>
      </c>
      <c r="I17">
        <v>5</v>
      </c>
      <c r="J17" t="str">
        <f t="shared" si="3"/>
        <v>Excellent</v>
      </c>
    </row>
    <row r="18" spans="1:10" x14ac:dyDescent="0.35">
      <c r="A18" t="s">
        <v>31</v>
      </c>
      <c r="B18" s="3">
        <v>195</v>
      </c>
      <c r="C18" s="3">
        <v>360</v>
      </c>
      <c r="D18" s="2" t="str">
        <f t="shared" si="0"/>
        <v>Low Price</v>
      </c>
      <c r="E18" s="2">
        <f t="shared" si="1"/>
        <v>165</v>
      </c>
      <c r="F18" s="1">
        <v>0.46</v>
      </c>
      <c r="G18" s="1" t="str">
        <f t="shared" si="2"/>
        <v>High Discount</v>
      </c>
      <c r="H18">
        <v>2</v>
      </c>
      <c r="I18">
        <v>5</v>
      </c>
      <c r="J18" t="str">
        <f t="shared" si="3"/>
        <v>Excellent</v>
      </c>
    </row>
    <row r="19" spans="1:10" x14ac:dyDescent="0.35">
      <c r="A19" t="s">
        <v>32</v>
      </c>
      <c r="B19" s="3">
        <v>2025</v>
      </c>
      <c r="C19" s="3">
        <v>3971</v>
      </c>
      <c r="D19" s="2" t="str">
        <f t="shared" si="0"/>
        <v>Medium Price</v>
      </c>
      <c r="E19" s="2">
        <f t="shared" si="1"/>
        <v>1946</v>
      </c>
      <c r="F19" s="1">
        <v>0.49</v>
      </c>
      <c r="G19" s="1" t="str">
        <f t="shared" si="2"/>
        <v>High Discount</v>
      </c>
      <c r="H19">
        <v>3</v>
      </c>
      <c r="I19">
        <v>5</v>
      </c>
      <c r="J19" t="str">
        <f t="shared" si="3"/>
        <v>Excellent</v>
      </c>
    </row>
    <row r="20" spans="1:10" x14ac:dyDescent="0.35">
      <c r="A20" t="s">
        <v>33</v>
      </c>
      <c r="B20" s="3">
        <v>2999</v>
      </c>
      <c r="C20" s="3">
        <v>3699</v>
      </c>
      <c r="D20" s="2" t="str">
        <f t="shared" si="0"/>
        <v>Medium Price</v>
      </c>
      <c r="E20" s="2">
        <f t="shared" si="1"/>
        <v>700</v>
      </c>
      <c r="F20" s="1">
        <v>0.19</v>
      </c>
      <c r="G20" s="1" t="str">
        <f t="shared" si="2"/>
        <v>Low Discount</v>
      </c>
      <c r="H20">
        <v>5</v>
      </c>
      <c r="I20">
        <v>4.5999999999999996</v>
      </c>
      <c r="J20" t="str">
        <f t="shared" si="3"/>
        <v>Excellent</v>
      </c>
    </row>
    <row r="21" spans="1:10" x14ac:dyDescent="0.35">
      <c r="A21" t="s">
        <v>34</v>
      </c>
      <c r="B21" s="3">
        <v>998</v>
      </c>
      <c r="C21" s="3">
        <v>1966</v>
      </c>
      <c r="D21" s="2" t="str">
        <f t="shared" si="0"/>
        <v>Low Price</v>
      </c>
      <c r="E21" s="2">
        <f t="shared" si="1"/>
        <v>968</v>
      </c>
      <c r="F21" s="1">
        <v>0.49</v>
      </c>
      <c r="G21" s="1" t="str">
        <f t="shared" si="2"/>
        <v>High Discount</v>
      </c>
      <c r="H21">
        <v>44</v>
      </c>
      <c r="I21">
        <v>4.5999999999999996</v>
      </c>
      <c r="J21" t="str">
        <f t="shared" si="3"/>
        <v>Excellent</v>
      </c>
    </row>
    <row r="22" spans="1:10" x14ac:dyDescent="0.35">
      <c r="A22" t="s">
        <v>35</v>
      </c>
      <c r="B22" s="3">
        <v>38</v>
      </c>
      <c r="C22" s="3">
        <v>80</v>
      </c>
      <c r="D22" s="2" t="str">
        <f t="shared" si="0"/>
        <v>Low Price</v>
      </c>
      <c r="E22" s="2">
        <f t="shared" si="1"/>
        <v>42</v>
      </c>
      <c r="F22" s="1">
        <v>0.53</v>
      </c>
      <c r="G22" s="1" t="str">
        <f t="shared" si="2"/>
        <v>High Discount</v>
      </c>
      <c r="H22">
        <v>13</v>
      </c>
      <c r="I22">
        <v>3.3</v>
      </c>
      <c r="J22" t="str">
        <f t="shared" si="3"/>
        <v>Average</v>
      </c>
    </row>
    <row r="23" spans="1:10" x14ac:dyDescent="0.35">
      <c r="A23" t="s">
        <v>37</v>
      </c>
      <c r="B23" s="3">
        <v>1860</v>
      </c>
      <c r="C23" s="3">
        <v>3220</v>
      </c>
      <c r="D23" s="2" t="str">
        <f t="shared" si="0"/>
        <v>Low Price</v>
      </c>
      <c r="E23" s="2">
        <f t="shared" si="1"/>
        <v>1360</v>
      </c>
      <c r="F23" s="1">
        <v>0.42</v>
      </c>
      <c r="G23" s="1" t="str">
        <f t="shared" si="2"/>
        <v>High Discount</v>
      </c>
      <c r="H23" t="s">
        <v>38</v>
      </c>
      <c r="I23" t="s">
        <v>38</v>
      </c>
      <c r="J23" t="str">
        <f t="shared" si="3"/>
        <v>Unknown</v>
      </c>
    </row>
    <row r="24" spans="1:10" x14ac:dyDescent="0.35">
      <c r="A24" t="s">
        <v>39</v>
      </c>
      <c r="B24" s="3">
        <v>880</v>
      </c>
      <c r="C24" s="3">
        <v>1350</v>
      </c>
      <c r="D24" s="2" t="str">
        <f t="shared" si="0"/>
        <v>Low Price</v>
      </c>
      <c r="E24" s="2">
        <f t="shared" si="1"/>
        <v>470</v>
      </c>
      <c r="F24" s="1">
        <v>0.35</v>
      </c>
      <c r="G24" s="1" t="str">
        <f t="shared" si="2"/>
        <v>Medium Discount</v>
      </c>
      <c r="H24">
        <v>6</v>
      </c>
      <c r="I24">
        <v>4</v>
      </c>
      <c r="J24" t="str">
        <f t="shared" si="3"/>
        <v>Average</v>
      </c>
    </row>
    <row r="25" spans="1:10" x14ac:dyDescent="0.35">
      <c r="A25" t="s">
        <v>40</v>
      </c>
      <c r="B25" s="3">
        <v>1650</v>
      </c>
      <c r="C25" s="3">
        <v>2150</v>
      </c>
      <c r="D25" s="2" t="str">
        <f t="shared" si="0"/>
        <v>Low Price</v>
      </c>
      <c r="E25" s="2">
        <f t="shared" si="1"/>
        <v>500</v>
      </c>
      <c r="F25" s="1">
        <v>0.23</v>
      </c>
      <c r="G25" s="1" t="str">
        <f t="shared" si="2"/>
        <v>Medium Discount</v>
      </c>
      <c r="H25">
        <v>14</v>
      </c>
      <c r="I25">
        <v>4.4000000000000004</v>
      </c>
      <c r="J25" t="str">
        <f t="shared" si="3"/>
        <v>Average</v>
      </c>
    </row>
    <row r="26" spans="1:10" x14ac:dyDescent="0.35">
      <c r="A26" t="s">
        <v>42</v>
      </c>
      <c r="B26" s="3">
        <v>2048</v>
      </c>
      <c r="C26" s="3">
        <v>4500</v>
      </c>
      <c r="D26" s="2" t="str">
        <f t="shared" si="0"/>
        <v>Medium Price</v>
      </c>
      <c r="E26" s="2">
        <f t="shared" si="1"/>
        <v>2452</v>
      </c>
      <c r="F26" s="1">
        <v>0.54</v>
      </c>
      <c r="G26" s="1" t="str">
        <f t="shared" si="2"/>
        <v>High Discount</v>
      </c>
      <c r="H26">
        <v>7</v>
      </c>
      <c r="I26">
        <v>4.3</v>
      </c>
      <c r="J26" t="str">
        <f t="shared" si="3"/>
        <v>Average</v>
      </c>
    </row>
    <row r="27" spans="1:10" x14ac:dyDescent="0.35">
      <c r="A27" t="s">
        <v>44</v>
      </c>
      <c r="B27" s="3">
        <v>420</v>
      </c>
      <c r="C27" s="3">
        <v>647</v>
      </c>
      <c r="D27" s="2" t="str">
        <f t="shared" si="0"/>
        <v>Low Price</v>
      </c>
      <c r="E27" s="2">
        <f t="shared" si="1"/>
        <v>227</v>
      </c>
      <c r="F27" s="1">
        <v>0.35</v>
      </c>
      <c r="G27" s="1" t="str">
        <f t="shared" si="2"/>
        <v>Medium Discount</v>
      </c>
      <c r="H27">
        <v>49</v>
      </c>
      <c r="I27">
        <v>4.5999999999999996</v>
      </c>
      <c r="J27" t="str">
        <f t="shared" si="3"/>
        <v>Excellent</v>
      </c>
    </row>
    <row r="28" spans="1:10" x14ac:dyDescent="0.35">
      <c r="A28" t="s">
        <v>45</v>
      </c>
      <c r="B28" s="3">
        <v>2880</v>
      </c>
      <c r="C28" s="3">
        <v>3520</v>
      </c>
      <c r="D28" s="2" t="str">
        <f t="shared" si="0"/>
        <v>Medium Price</v>
      </c>
      <c r="E28" s="2">
        <f t="shared" si="1"/>
        <v>640</v>
      </c>
      <c r="F28" s="1">
        <v>0.18</v>
      </c>
      <c r="G28" s="1" t="str">
        <f t="shared" si="2"/>
        <v>Low Discount</v>
      </c>
      <c r="H28">
        <v>12</v>
      </c>
      <c r="I28">
        <v>3.8</v>
      </c>
      <c r="J28" t="str">
        <f t="shared" si="3"/>
        <v>Average</v>
      </c>
    </row>
    <row r="29" spans="1:10" x14ac:dyDescent="0.35">
      <c r="A29" t="s">
        <v>46</v>
      </c>
      <c r="B29" s="3">
        <v>1350</v>
      </c>
      <c r="C29" s="3">
        <v>1990</v>
      </c>
      <c r="D29" s="2" t="str">
        <f t="shared" si="0"/>
        <v>Low Price</v>
      </c>
      <c r="E29" s="2">
        <f t="shared" si="1"/>
        <v>640</v>
      </c>
      <c r="F29" s="1">
        <v>0.32</v>
      </c>
      <c r="G29" s="1" t="str">
        <f t="shared" si="2"/>
        <v>Medium Discount</v>
      </c>
      <c r="H29">
        <v>13</v>
      </c>
      <c r="I29">
        <v>3.8</v>
      </c>
      <c r="J29" t="str">
        <f t="shared" si="3"/>
        <v>Average</v>
      </c>
    </row>
    <row r="30" spans="1:10" x14ac:dyDescent="0.35">
      <c r="A30" t="s">
        <v>47</v>
      </c>
      <c r="B30" s="3">
        <v>1758</v>
      </c>
      <c r="C30" s="3">
        <v>2499</v>
      </c>
      <c r="D30" s="2" t="str">
        <f t="shared" si="0"/>
        <v>Low Price</v>
      </c>
      <c r="E30" s="2">
        <f t="shared" si="1"/>
        <v>741</v>
      </c>
      <c r="F30" s="1">
        <v>0.3</v>
      </c>
      <c r="G30" s="1" t="str">
        <f t="shared" si="2"/>
        <v>Medium Discount</v>
      </c>
      <c r="H30">
        <v>20</v>
      </c>
      <c r="I30">
        <v>4.0999999999999996</v>
      </c>
      <c r="J30" t="str">
        <f t="shared" si="3"/>
        <v>Average</v>
      </c>
    </row>
    <row r="31" spans="1:10" x14ac:dyDescent="0.35">
      <c r="A31" t="s">
        <v>48</v>
      </c>
      <c r="B31" s="3">
        <v>2200</v>
      </c>
      <c r="C31" s="3">
        <v>4080</v>
      </c>
      <c r="D31" s="2" t="str">
        <f t="shared" si="0"/>
        <v>Medium Price</v>
      </c>
      <c r="E31" s="2">
        <f t="shared" si="1"/>
        <v>1880</v>
      </c>
      <c r="F31" s="1">
        <v>0.46</v>
      </c>
      <c r="G31" s="1" t="str">
        <f t="shared" si="2"/>
        <v>High Discount</v>
      </c>
      <c r="H31" t="s">
        <v>38</v>
      </c>
      <c r="I31" t="s">
        <v>38</v>
      </c>
      <c r="J31" t="str">
        <f t="shared" si="3"/>
        <v>Unknown</v>
      </c>
    </row>
    <row r="32" spans="1:10" x14ac:dyDescent="0.35">
      <c r="A32" t="s">
        <v>49</v>
      </c>
      <c r="B32" s="3">
        <v>185</v>
      </c>
      <c r="C32" s="3">
        <v>382</v>
      </c>
      <c r="D32" s="2" t="str">
        <f t="shared" si="0"/>
        <v>Low Price</v>
      </c>
      <c r="E32" s="2">
        <f t="shared" si="1"/>
        <v>197</v>
      </c>
      <c r="F32" s="1">
        <v>0.52</v>
      </c>
      <c r="G32" s="1" t="str">
        <f t="shared" si="2"/>
        <v>High Discount</v>
      </c>
      <c r="H32">
        <v>9</v>
      </c>
      <c r="I32">
        <v>4.3</v>
      </c>
      <c r="J32" t="str">
        <f t="shared" si="3"/>
        <v>Average</v>
      </c>
    </row>
    <row r="33" spans="1:10" x14ac:dyDescent="0.35">
      <c r="A33" t="s">
        <v>50</v>
      </c>
      <c r="B33" s="3">
        <v>980</v>
      </c>
      <c r="C33" s="3">
        <v>1490</v>
      </c>
      <c r="D33" s="2" t="str">
        <f t="shared" si="0"/>
        <v>Low Price</v>
      </c>
      <c r="E33" s="2">
        <f t="shared" si="1"/>
        <v>510</v>
      </c>
      <c r="F33" s="1">
        <v>0.34</v>
      </c>
      <c r="G33" s="1" t="str">
        <f t="shared" si="2"/>
        <v>Medium Discount</v>
      </c>
      <c r="H33">
        <v>12</v>
      </c>
      <c r="I33">
        <v>4.7</v>
      </c>
      <c r="J33" t="str">
        <f t="shared" si="3"/>
        <v>Excellent</v>
      </c>
    </row>
    <row r="34" spans="1:10" x14ac:dyDescent="0.35">
      <c r="A34" t="s">
        <v>51</v>
      </c>
      <c r="B34" s="3">
        <v>1820</v>
      </c>
      <c r="C34" s="3">
        <v>3490</v>
      </c>
      <c r="D34" s="2" t="str">
        <f t="shared" si="0"/>
        <v>Low Price</v>
      </c>
      <c r="E34" s="2">
        <f t="shared" si="1"/>
        <v>1670</v>
      </c>
      <c r="F34" s="1">
        <v>0.48</v>
      </c>
      <c r="G34" s="1" t="str">
        <f t="shared" si="2"/>
        <v>High Discount</v>
      </c>
      <c r="H34">
        <v>9</v>
      </c>
      <c r="I34">
        <v>4.3</v>
      </c>
      <c r="J34" t="str">
        <f t="shared" si="3"/>
        <v>Average</v>
      </c>
    </row>
    <row r="35" spans="1:10" x14ac:dyDescent="0.35">
      <c r="A35" t="s">
        <v>52</v>
      </c>
      <c r="B35" s="3">
        <v>1940</v>
      </c>
      <c r="C35" s="3">
        <v>2650</v>
      </c>
      <c r="D35" s="2" t="str">
        <f t="shared" si="0"/>
        <v>Low Price</v>
      </c>
      <c r="E35" s="2">
        <f t="shared" si="1"/>
        <v>710</v>
      </c>
      <c r="F35" s="1">
        <v>0.27</v>
      </c>
      <c r="G35" s="1" t="str">
        <f t="shared" si="2"/>
        <v>Medium Discount</v>
      </c>
      <c r="H35">
        <v>20</v>
      </c>
      <c r="I35">
        <v>4.7</v>
      </c>
      <c r="J35" t="str">
        <f t="shared" si="3"/>
        <v>Excellent</v>
      </c>
    </row>
    <row r="36" spans="1:10" x14ac:dyDescent="0.35">
      <c r="A36" t="s">
        <v>53</v>
      </c>
      <c r="B36" s="3">
        <v>1980</v>
      </c>
      <c r="C36" s="3">
        <v>2699</v>
      </c>
      <c r="D36" s="2" t="str">
        <f t="shared" si="0"/>
        <v>Low Price</v>
      </c>
      <c r="E36" s="2">
        <f t="shared" si="1"/>
        <v>719</v>
      </c>
      <c r="F36" s="1">
        <v>0.27</v>
      </c>
      <c r="G36" s="1" t="str">
        <f t="shared" si="2"/>
        <v>Medium Discount</v>
      </c>
      <c r="H36">
        <v>32</v>
      </c>
      <c r="I36">
        <v>4.5</v>
      </c>
      <c r="J36" t="str">
        <f t="shared" si="3"/>
        <v>Average</v>
      </c>
    </row>
    <row r="37" spans="1:10" x14ac:dyDescent="0.35">
      <c r="A37" t="s">
        <v>54</v>
      </c>
      <c r="B37" s="3">
        <v>1620</v>
      </c>
      <c r="C37" s="3">
        <v>2690</v>
      </c>
      <c r="D37" s="2" t="str">
        <f t="shared" si="0"/>
        <v>Low Price</v>
      </c>
      <c r="E37" s="2">
        <f t="shared" si="1"/>
        <v>1070</v>
      </c>
      <c r="F37" s="1">
        <v>0.4</v>
      </c>
      <c r="G37" s="1" t="str">
        <f t="shared" si="2"/>
        <v>Medium Discount</v>
      </c>
      <c r="H37">
        <v>1</v>
      </c>
      <c r="I37">
        <v>5</v>
      </c>
      <c r="J37" t="str">
        <f t="shared" si="3"/>
        <v>Excellent</v>
      </c>
    </row>
    <row r="38" spans="1:10" x14ac:dyDescent="0.35">
      <c r="A38" t="s">
        <v>55</v>
      </c>
      <c r="B38" s="3">
        <v>171</v>
      </c>
      <c r="C38" s="3">
        <v>360</v>
      </c>
      <c r="D38" s="2" t="str">
        <f t="shared" si="0"/>
        <v>Low Price</v>
      </c>
      <c r="E38" s="2">
        <f t="shared" si="1"/>
        <v>189</v>
      </c>
      <c r="F38" s="1">
        <v>0.53</v>
      </c>
      <c r="G38" s="1" t="str">
        <f t="shared" si="2"/>
        <v>High Discount</v>
      </c>
      <c r="H38">
        <v>2</v>
      </c>
      <c r="I38">
        <v>5</v>
      </c>
      <c r="J38" t="str">
        <f t="shared" si="3"/>
        <v>Excellent</v>
      </c>
    </row>
    <row r="39" spans="1:10" x14ac:dyDescent="0.35">
      <c r="A39" t="s">
        <v>56</v>
      </c>
      <c r="B39" s="3">
        <v>389</v>
      </c>
      <c r="C39" s="3">
        <v>656</v>
      </c>
      <c r="D39" s="2" t="str">
        <f t="shared" si="0"/>
        <v>Low Price</v>
      </c>
      <c r="E39" s="2">
        <f t="shared" si="1"/>
        <v>267</v>
      </c>
      <c r="F39" s="1">
        <v>0.41</v>
      </c>
      <c r="G39" s="1" t="str">
        <f t="shared" si="2"/>
        <v>High Discount</v>
      </c>
      <c r="H39">
        <v>36</v>
      </c>
      <c r="I39">
        <v>4.3</v>
      </c>
      <c r="J39" t="str">
        <f t="shared" si="3"/>
        <v>Average</v>
      </c>
    </row>
    <row r="40" spans="1:10" x14ac:dyDescent="0.35">
      <c r="A40" t="s">
        <v>57</v>
      </c>
      <c r="B40" s="3">
        <f>AVERAGE(1620,1980)</f>
        <v>1800</v>
      </c>
      <c r="C40" s="3">
        <f>AVERAGE(2200,3200)</f>
        <v>2700</v>
      </c>
      <c r="D40" s="2" t="str">
        <f t="shared" si="0"/>
        <v>Low Price</v>
      </c>
      <c r="E40" s="2">
        <f t="shared" si="1"/>
        <v>900</v>
      </c>
      <c r="F40" s="1">
        <v>0.38</v>
      </c>
      <c r="G40" s="1" t="str">
        <f t="shared" si="2"/>
        <v>Medium Discount</v>
      </c>
      <c r="H40">
        <v>2</v>
      </c>
      <c r="I40">
        <v>4.5</v>
      </c>
      <c r="J40" t="str">
        <f t="shared" si="3"/>
        <v>Average</v>
      </c>
    </row>
    <row r="41" spans="1:10" x14ac:dyDescent="0.35">
      <c r="A41" t="s">
        <v>60</v>
      </c>
      <c r="B41" s="3">
        <v>2750</v>
      </c>
      <c r="C41" s="3">
        <v>4471</v>
      </c>
      <c r="D41" s="2" t="str">
        <f t="shared" si="0"/>
        <v>Medium Price</v>
      </c>
      <c r="E41" s="2">
        <f t="shared" si="1"/>
        <v>1721</v>
      </c>
      <c r="F41" s="1">
        <v>0.38</v>
      </c>
      <c r="G41" s="1" t="str">
        <f t="shared" si="2"/>
        <v>Medium Discount</v>
      </c>
      <c r="H41" t="s">
        <v>38</v>
      </c>
      <c r="I41" t="s">
        <v>38</v>
      </c>
      <c r="J41" t="str">
        <f t="shared" si="3"/>
        <v>Unknown</v>
      </c>
    </row>
    <row r="42" spans="1:10" x14ac:dyDescent="0.35">
      <c r="A42" t="s">
        <v>61</v>
      </c>
      <c r="B42" s="3">
        <v>475</v>
      </c>
      <c r="C42" s="3">
        <v>931</v>
      </c>
      <c r="D42" s="2" t="str">
        <f t="shared" si="0"/>
        <v>Low Price</v>
      </c>
      <c r="E42" s="2">
        <f t="shared" si="1"/>
        <v>456</v>
      </c>
      <c r="F42" s="1">
        <v>0.49</v>
      </c>
      <c r="G42" s="1" t="str">
        <f t="shared" si="2"/>
        <v>High Discount</v>
      </c>
      <c r="H42" t="s">
        <v>38</v>
      </c>
      <c r="I42" t="s">
        <v>38</v>
      </c>
      <c r="J42" t="str">
        <f t="shared" si="3"/>
        <v>Unknown</v>
      </c>
    </row>
    <row r="43" spans="1:10" x14ac:dyDescent="0.35">
      <c r="A43" t="s">
        <v>62</v>
      </c>
      <c r="B43" s="3">
        <v>238</v>
      </c>
      <c r="C43" s="3">
        <v>476</v>
      </c>
      <c r="D43" s="2" t="str">
        <f t="shared" si="0"/>
        <v>Low Price</v>
      </c>
      <c r="E43" s="2">
        <f t="shared" si="1"/>
        <v>238</v>
      </c>
      <c r="F43" s="1">
        <v>0.5</v>
      </c>
      <c r="G43" s="1" t="str">
        <f t="shared" si="2"/>
        <v>High Discount</v>
      </c>
      <c r="H43" t="s">
        <v>38</v>
      </c>
      <c r="I43" t="s">
        <v>38</v>
      </c>
      <c r="J43" t="str">
        <f t="shared" si="3"/>
        <v>Unknown</v>
      </c>
    </row>
    <row r="44" spans="1:10" x14ac:dyDescent="0.35">
      <c r="A44" t="s">
        <v>63</v>
      </c>
      <c r="B44" s="3">
        <v>610</v>
      </c>
      <c r="C44" s="3">
        <v>1060</v>
      </c>
      <c r="D44" s="2" t="str">
        <f t="shared" si="0"/>
        <v>Low Price</v>
      </c>
      <c r="E44" s="2">
        <f t="shared" si="1"/>
        <v>450</v>
      </c>
      <c r="F44" s="1">
        <v>0.42</v>
      </c>
      <c r="G44" s="1" t="str">
        <f t="shared" si="2"/>
        <v>High Discount</v>
      </c>
      <c r="H44" t="s">
        <v>38</v>
      </c>
      <c r="I44" t="s">
        <v>38</v>
      </c>
      <c r="J44" t="str">
        <f t="shared" si="3"/>
        <v>Unknown</v>
      </c>
    </row>
    <row r="45" spans="1:10" x14ac:dyDescent="0.35">
      <c r="A45" t="s">
        <v>64</v>
      </c>
      <c r="B45" s="3">
        <v>2132</v>
      </c>
      <c r="C45" s="3">
        <v>2169</v>
      </c>
      <c r="D45" s="2" t="str">
        <f t="shared" si="0"/>
        <v>Medium Price</v>
      </c>
      <c r="E45" s="2">
        <f t="shared" si="1"/>
        <v>37</v>
      </c>
      <c r="F45" s="1">
        <v>0.02</v>
      </c>
      <c r="G45" s="1" t="str">
        <f t="shared" si="2"/>
        <v>Low Discount</v>
      </c>
      <c r="H45" t="s">
        <v>38</v>
      </c>
      <c r="I45" t="s">
        <v>38</v>
      </c>
      <c r="J45" t="str">
        <f t="shared" si="3"/>
        <v>Unknown</v>
      </c>
    </row>
    <row r="46" spans="1:10" x14ac:dyDescent="0.35">
      <c r="A46" t="s">
        <v>65</v>
      </c>
      <c r="B46" s="3">
        <v>999</v>
      </c>
      <c r="C46" s="3">
        <v>2000</v>
      </c>
      <c r="D46" s="2" t="str">
        <f t="shared" si="0"/>
        <v>Low Price</v>
      </c>
      <c r="E46" s="2">
        <f t="shared" si="1"/>
        <v>1001</v>
      </c>
      <c r="F46" s="1">
        <v>0.5</v>
      </c>
      <c r="G46" s="1" t="str">
        <f t="shared" si="2"/>
        <v>High Discount</v>
      </c>
      <c r="H46" t="s">
        <v>38</v>
      </c>
      <c r="I46" t="s">
        <v>38</v>
      </c>
      <c r="J46" t="str">
        <f t="shared" si="3"/>
        <v>Unknown</v>
      </c>
    </row>
    <row r="47" spans="1:10" x14ac:dyDescent="0.35">
      <c r="A47" t="s">
        <v>66</v>
      </c>
      <c r="B47" s="3">
        <v>1190</v>
      </c>
      <c r="C47" s="3">
        <v>1785</v>
      </c>
      <c r="D47" s="2" t="str">
        <f t="shared" si="0"/>
        <v>Low Price</v>
      </c>
      <c r="E47" s="2">
        <f t="shared" si="1"/>
        <v>595</v>
      </c>
      <c r="F47" s="1">
        <v>0.33</v>
      </c>
      <c r="G47" s="1" t="str">
        <f t="shared" si="2"/>
        <v>Medium Discount</v>
      </c>
      <c r="H47" t="s">
        <v>38</v>
      </c>
      <c r="I47" t="s">
        <v>38</v>
      </c>
      <c r="J47" t="str">
        <f t="shared" si="3"/>
        <v>Unknown</v>
      </c>
    </row>
    <row r="48" spans="1:10" x14ac:dyDescent="0.35">
      <c r="A48" t="s">
        <v>67</v>
      </c>
      <c r="B48" s="3">
        <v>671</v>
      </c>
      <c r="C48" s="3">
        <v>1316</v>
      </c>
      <c r="D48" s="2" t="str">
        <f t="shared" si="0"/>
        <v>Low Price</v>
      </c>
      <c r="E48" s="2">
        <f t="shared" si="1"/>
        <v>645</v>
      </c>
      <c r="F48" s="1">
        <v>0.49</v>
      </c>
      <c r="G48" s="1" t="str">
        <f t="shared" si="2"/>
        <v>High Discount</v>
      </c>
      <c r="H48" t="s">
        <v>38</v>
      </c>
      <c r="I48" t="s">
        <v>38</v>
      </c>
      <c r="J48" t="str">
        <f t="shared" si="3"/>
        <v>Unknown</v>
      </c>
    </row>
    <row r="49" spans="1:10" x14ac:dyDescent="0.35">
      <c r="A49" t="s">
        <v>68</v>
      </c>
      <c r="B49" s="3">
        <v>1200</v>
      </c>
      <c r="C49" s="3">
        <v>1950</v>
      </c>
      <c r="D49" s="2" t="str">
        <f t="shared" si="0"/>
        <v>Low Price</v>
      </c>
      <c r="E49" s="2">
        <f t="shared" si="1"/>
        <v>750</v>
      </c>
      <c r="F49" s="1">
        <v>0.38</v>
      </c>
      <c r="G49" s="1" t="str">
        <f t="shared" si="2"/>
        <v>Medium Discount</v>
      </c>
      <c r="H49" t="s">
        <v>38</v>
      </c>
      <c r="I49" t="s">
        <v>38</v>
      </c>
      <c r="J49" t="str">
        <f t="shared" si="3"/>
        <v>Unknown</v>
      </c>
    </row>
    <row r="50" spans="1:10" x14ac:dyDescent="0.35">
      <c r="A50" t="s">
        <v>69</v>
      </c>
      <c r="B50" s="3">
        <v>199</v>
      </c>
      <c r="C50" s="3">
        <v>504</v>
      </c>
      <c r="D50" s="2" t="str">
        <f t="shared" si="0"/>
        <v>Low Price</v>
      </c>
      <c r="E50" s="2">
        <f t="shared" si="1"/>
        <v>305</v>
      </c>
      <c r="F50" s="1">
        <v>0.61</v>
      </c>
      <c r="G50" s="1" t="str">
        <f t="shared" si="2"/>
        <v>High Discount</v>
      </c>
      <c r="H50" t="s">
        <v>38</v>
      </c>
      <c r="I50" t="s">
        <v>38</v>
      </c>
      <c r="J50" t="str">
        <f t="shared" si="3"/>
        <v>Unknown</v>
      </c>
    </row>
    <row r="51" spans="1:10" x14ac:dyDescent="0.35">
      <c r="A51" t="s">
        <v>70</v>
      </c>
      <c r="B51" s="3">
        <v>299</v>
      </c>
      <c r="C51" s="3">
        <v>600</v>
      </c>
      <c r="D51" s="2" t="str">
        <f t="shared" si="0"/>
        <v>Low Price</v>
      </c>
      <c r="E51" s="2">
        <f t="shared" si="1"/>
        <v>301</v>
      </c>
      <c r="F51" s="1">
        <v>0.5</v>
      </c>
      <c r="G51" s="1" t="str">
        <f t="shared" si="2"/>
        <v>High Discount</v>
      </c>
      <c r="H51" t="s">
        <v>38</v>
      </c>
      <c r="I51" t="s">
        <v>38</v>
      </c>
      <c r="J51" t="str">
        <f t="shared" si="3"/>
        <v>Unknown</v>
      </c>
    </row>
    <row r="52" spans="1:10" x14ac:dyDescent="0.35">
      <c r="A52" t="s">
        <v>71</v>
      </c>
      <c r="B52" s="3">
        <v>1660</v>
      </c>
      <c r="C52" s="3">
        <v>1699</v>
      </c>
      <c r="D52" s="2" t="str">
        <f t="shared" si="0"/>
        <v>Low Price</v>
      </c>
      <c r="E52" s="2">
        <f t="shared" si="1"/>
        <v>39</v>
      </c>
      <c r="F52" s="1">
        <v>0.02</v>
      </c>
      <c r="G52" s="1" t="str">
        <f t="shared" si="2"/>
        <v>Low Discount</v>
      </c>
      <c r="H52" t="s">
        <v>38</v>
      </c>
      <c r="I52" t="s">
        <v>38</v>
      </c>
      <c r="J52" t="str">
        <f t="shared" si="3"/>
        <v>Unknown</v>
      </c>
    </row>
    <row r="53" spans="1:10" x14ac:dyDescent="0.35">
      <c r="A53" t="s">
        <v>72</v>
      </c>
      <c r="B53" s="3">
        <v>299</v>
      </c>
      <c r="C53" s="3">
        <v>384</v>
      </c>
      <c r="D53" s="2" t="str">
        <f t="shared" si="0"/>
        <v>Low Price</v>
      </c>
      <c r="E53" s="2">
        <f t="shared" si="1"/>
        <v>85</v>
      </c>
      <c r="F53" s="1">
        <v>0.22</v>
      </c>
      <c r="G53" s="1" t="str">
        <f t="shared" si="2"/>
        <v>Medium Discount</v>
      </c>
      <c r="H53" t="s">
        <v>38</v>
      </c>
      <c r="I53" t="s">
        <v>38</v>
      </c>
      <c r="J53" t="str">
        <f t="shared" si="3"/>
        <v>Unknown</v>
      </c>
    </row>
    <row r="54" spans="1:10" x14ac:dyDescent="0.35">
      <c r="A54" t="s">
        <v>73</v>
      </c>
      <c r="B54" s="3">
        <v>1459</v>
      </c>
      <c r="C54" s="3">
        <v>1499</v>
      </c>
      <c r="D54" s="2" t="str">
        <f t="shared" si="0"/>
        <v>Low Price</v>
      </c>
      <c r="E54" s="2">
        <f t="shared" si="1"/>
        <v>40</v>
      </c>
      <c r="F54" s="1">
        <v>0.03</v>
      </c>
      <c r="G54" s="1" t="str">
        <f t="shared" si="2"/>
        <v>Low Discount</v>
      </c>
      <c r="H54" t="s">
        <v>38</v>
      </c>
      <c r="I54" t="s">
        <v>38</v>
      </c>
      <c r="J54" t="str">
        <f t="shared" si="3"/>
        <v>Unknown</v>
      </c>
    </row>
    <row r="55" spans="1:10" x14ac:dyDescent="0.35">
      <c r="A55" t="s">
        <v>74</v>
      </c>
      <c r="B55" s="3">
        <v>799</v>
      </c>
      <c r="C55" s="3">
        <v>1343</v>
      </c>
      <c r="D55" s="2" t="str">
        <f t="shared" si="0"/>
        <v>Low Price</v>
      </c>
      <c r="E55" s="2">
        <f t="shared" si="1"/>
        <v>544</v>
      </c>
      <c r="F55" s="1">
        <v>0.41</v>
      </c>
      <c r="G55" s="1" t="str">
        <f t="shared" si="2"/>
        <v>High Discount</v>
      </c>
      <c r="H55" t="s">
        <v>38</v>
      </c>
      <c r="I55" t="s">
        <v>38</v>
      </c>
      <c r="J55" t="str">
        <f t="shared" si="3"/>
        <v>Unknown</v>
      </c>
    </row>
    <row r="56" spans="1:10" x14ac:dyDescent="0.35">
      <c r="A56" t="s">
        <v>75</v>
      </c>
      <c r="B56" s="3">
        <v>499</v>
      </c>
      <c r="C56" s="3">
        <v>900</v>
      </c>
      <c r="D56" s="2" t="str">
        <f t="shared" si="0"/>
        <v>Low Price</v>
      </c>
      <c r="E56" s="2">
        <f t="shared" si="1"/>
        <v>401</v>
      </c>
      <c r="F56" s="1">
        <v>0.45</v>
      </c>
      <c r="G56" s="1" t="str">
        <f t="shared" si="2"/>
        <v>High Discount</v>
      </c>
      <c r="H56" t="s">
        <v>38</v>
      </c>
      <c r="I56" t="s">
        <v>38</v>
      </c>
      <c r="J56" t="str">
        <f t="shared" si="3"/>
        <v>Unknown</v>
      </c>
    </row>
    <row r="57" spans="1:10" x14ac:dyDescent="0.35">
      <c r="A57" t="s">
        <v>76</v>
      </c>
      <c r="B57" s="3">
        <v>699</v>
      </c>
      <c r="C57" s="3">
        <v>1343</v>
      </c>
      <c r="D57" s="2" t="str">
        <f t="shared" si="0"/>
        <v>Low Price</v>
      </c>
      <c r="E57" s="2">
        <f t="shared" si="1"/>
        <v>644</v>
      </c>
      <c r="F57" s="1">
        <v>0.48</v>
      </c>
      <c r="G57" s="1" t="str">
        <f t="shared" si="2"/>
        <v>High Discount</v>
      </c>
      <c r="H57" t="s">
        <v>38</v>
      </c>
      <c r="I57" t="s">
        <v>38</v>
      </c>
      <c r="J57" t="str">
        <f t="shared" si="3"/>
        <v>Unknown</v>
      </c>
    </row>
    <row r="58" spans="1:10" x14ac:dyDescent="0.35">
      <c r="A58" t="s">
        <v>77</v>
      </c>
      <c r="B58" s="3">
        <v>799</v>
      </c>
      <c r="C58" s="3">
        <v>1567</v>
      </c>
      <c r="D58" s="2" t="str">
        <f t="shared" si="0"/>
        <v>Low Price</v>
      </c>
      <c r="E58" s="2">
        <f t="shared" si="1"/>
        <v>768</v>
      </c>
      <c r="F58" s="1">
        <v>0.49</v>
      </c>
      <c r="G58" s="1" t="str">
        <f t="shared" si="2"/>
        <v>High Discount</v>
      </c>
      <c r="H58" t="s">
        <v>38</v>
      </c>
      <c r="I58" t="s">
        <v>38</v>
      </c>
      <c r="J58" t="str">
        <f t="shared" si="3"/>
        <v>Unknown</v>
      </c>
    </row>
    <row r="59" spans="1:10" x14ac:dyDescent="0.35">
      <c r="A59" t="s">
        <v>78</v>
      </c>
      <c r="B59" s="3">
        <v>2799</v>
      </c>
      <c r="C59" s="3">
        <v>3810</v>
      </c>
      <c r="D59" s="2" t="str">
        <f t="shared" si="0"/>
        <v>Medium Price</v>
      </c>
      <c r="E59" s="2">
        <f t="shared" si="1"/>
        <v>1011</v>
      </c>
      <c r="F59" s="1">
        <v>0.27</v>
      </c>
      <c r="G59" s="1" t="str">
        <f t="shared" si="2"/>
        <v>Medium Discount</v>
      </c>
      <c r="H59" t="s">
        <v>38</v>
      </c>
      <c r="I59" t="s">
        <v>38</v>
      </c>
      <c r="J59" t="str">
        <f t="shared" si="3"/>
        <v>Unknown</v>
      </c>
    </row>
    <row r="60" spans="1:10" x14ac:dyDescent="0.35">
      <c r="A60" t="s">
        <v>75</v>
      </c>
      <c r="B60" s="3">
        <v>399</v>
      </c>
      <c r="C60" s="3">
        <v>896</v>
      </c>
      <c r="D60" s="2" t="str">
        <f t="shared" si="0"/>
        <v>Low Price</v>
      </c>
      <c r="E60" s="2">
        <f t="shared" si="1"/>
        <v>497</v>
      </c>
      <c r="F60" s="1">
        <v>0.55000000000000004</v>
      </c>
      <c r="G60" s="1" t="str">
        <f t="shared" si="2"/>
        <v>High Discount</v>
      </c>
      <c r="H60" t="s">
        <v>38</v>
      </c>
      <c r="I60" t="s">
        <v>38</v>
      </c>
      <c r="J60" t="str">
        <f t="shared" si="3"/>
        <v>Unknown</v>
      </c>
    </row>
    <row r="61" spans="1:10" x14ac:dyDescent="0.35">
      <c r="A61" t="s">
        <v>79</v>
      </c>
      <c r="B61" s="3">
        <v>2170</v>
      </c>
      <c r="C61" s="3">
        <v>2500</v>
      </c>
      <c r="D61" s="2" t="str">
        <f t="shared" si="0"/>
        <v>Medium Price</v>
      </c>
      <c r="E61" s="2">
        <f t="shared" si="1"/>
        <v>330</v>
      </c>
      <c r="F61" s="1">
        <v>0.13</v>
      </c>
      <c r="G61" s="1" t="str">
        <f t="shared" si="2"/>
        <v>Low Discount</v>
      </c>
      <c r="H61">
        <v>6</v>
      </c>
      <c r="I61">
        <v>2.5</v>
      </c>
      <c r="J61" t="str">
        <f t="shared" si="3"/>
        <v>Poor</v>
      </c>
    </row>
    <row r="62" spans="1:10" x14ac:dyDescent="0.35">
      <c r="A62" t="s">
        <v>81</v>
      </c>
      <c r="B62" s="3">
        <v>458</v>
      </c>
      <c r="C62" s="3">
        <v>986</v>
      </c>
      <c r="D62" s="2" t="str">
        <f t="shared" si="0"/>
        <v>Low Price</v>
      </c>
      <c r="E62" s="2">
        <f t="shared" si="1"/>
        <v>528</v>
      </c>
      <c r="F62" s="1">
        <v>0.54</v>
      </c>
      <c r="G62" s="1" t="str">
        <f t="shared" si="2"/>
        <v>High Discount</v>
      </c>
      <c r="H62">
        <v>10</v>
      </c>
      <c r="I62">
        <v>3</v>
      </c>
      <c r="J62" t="str">
        <f t="shared" si="3"/>
        <v>Average</v>
      </c>
    </row>
    <row r="63" spans="1:10" x14ac:dyDescent="0.35">
      <c r="A63" t="s">
        <v>83</v>
      </c>
      <c r="B63" s="3">
        <v>2115</v>
      </c>
      <c r="C63" s="3">
        <v>4700</v>
      </c>
      <c r="D63" s="2" t="str">
        <f t="shared" si="0"/>
        <v>Medium Price</v>
      </c>
      <c r="E63" s="2">
        <f t="shared" si="1"/>
        <v>2585</v>
      </c>
      <c r="F63" s="1">
        <v>0.55000000000000004</v>
      </c>
      <c r="G63" s="1" t="str">
        <f t="shared" si="2"/>
        <v>High Discount</v>
      </c>
      <c r="H63">
        <v>13</v>
      </c>
      <c r="I63">
        <v>2.1</v>
      </c>
      <c r="J63" t="str">
        <f t="shared" si="3"/>
        <v>Poor</v>
      </c>
    </row>
    <row r="64" spans="1:10" x14ac:dyDescent="0.35">
      <c r="A64" t="s">
        <v>85</v>
      </c>
      <c r="B64" s="3">
        <v>445</v>
      </c>
      <c r="C64" s="3">
        <v>873</v>
      </c>
      <c r="D64" s="2" t="str">
        <f t="shared" si="0"/>
        <v>Low Price</v>
      </c>
      <c r="E64" s="2">
        <f t="shared" si="1"/>
        <v>428</v>
      </c>
      <c r="F64" s="1">
        <v>0.49</v>
      </c>
      <c r="G64" s="1" t="str">
        <f t="shared" si="2"/>
        <v>High Discount</v>
      </c>
      <c r="H64">
        <v>69</v>
      </c>
      <c r="I64">
        <v>2.8</v>
      </c>
      <c r="J64" t="str">
        <f t="shared" si="3"/>
        <v>Poor</v>
      </c>
    </row>
    <row r="65" spans="1:10" x14ac:dyDescent="0.35">
      <c r="A65" t="s">
        <v>87</v>
      </c>
      <c r="B65" s="3">
        <v>325</v>
      </c>
      <c r="C65" s="3">
        <v>680</v>
      </c>
      <c r="D65" s="2" t="str">
        <f t="shared" si="0"/>
        <v>Low Price</v>
      </c>
      <c r="E65" s="2">
        <f t="shared" si="1"/>
        <v>355</v>
      </c>
      <c r="F65" s="1">
        <v>0.52</v>
      </c>
      <c r="G65" s="1" t="str">
        <f t="shared" si="2"/>
        <v>High Discount</v>
      </c>
      <c r="H65">
        <v>15</v>
      </c>
      <c r="I65">
        <v>2.7</v>
      </c>
      <c r="J65" t="str">
        <f t="shared" si="3"/>
        <v>Poor</v>
      </c>
    </row>
    <row r="66" spans="1:10" x14ac:dyDescent="0.35">
      <c r="A66" t="s">
        <v>89</v>
      </c>
      <c r="B66" s="3">
        <v>1220</v>
      </c>
      <c r="C66" s="3">
        <v>1555</v>
      </c>
      <c r="D66" s="2" t="str">
        <f t="shared" si="0"/>
        <v>Low Price</v>
      </c>
      <c r="E66" s="2">
        <f t="shared" si="1"/>
        <v>335</v>
      </c>
      <c r="F66" s="1">
        <v>0.22</v>
      </c>
      <c r="G66" s="1" t="str">
        <f t="shared" si="2"/>
        <v>Medium Discount</v>
      </c>
      <c r="H66">
        <v>16</v>
      </c>
      <c r="I66">
        <v>2.9</v>
      </c>
      <c r="J66" t="str">
        <f t="shared" si="3"/>
        <v>Poor</v>
      </c>
    </row>
    <row r="67" spans="1:10" x14ac:dyDescent="0.35">
      <c r="A67" t="s">
        <v>91</v>
      </c>
      <c r="B67" s="3">
        <v>990</v>
      </c>
      <c r="C67" s="3">
        <v>1814</v>
      </c>
      <c r="D67" s="2" t="str">
        <f t="shared" ref="D67:D113" si="4">IF(B67&gt;3000,"High Price",IF(B67&gt;=2000,"Medium Price","Low Price"))</f>
        <v>Low Price</v>
      </c>
      <c r="E67" s="2">
        <f t="shared" ref="E67:E113" si="5">C67-B67</f>
        <v>824</v>
      </c>
      <c r="F67" s="1">
        <v>0.45</v>
      </c>
      <c r="G67" s="1" t="str">
        <f t="shared" ref="G67:G113" si="6">IF(F67&lt;20%,"Low Discount",IF(F67&lt;=40%,"Medium Discount","High Discount"))</f>
        <v>High Discount</v>
      </c>
      <c r="H67">
        <v>6</v>
      </c>
      <c r="I67">
        <v>2.2000000000000002</v>
      </c>
      <c r="J67" t="str">
        <f t="shared" ref="J67:J113" si="7">IF(I67="Unknown","Unknown",IF(I67&lt;3,"Poor",IF(I67&lt;=4.5,"Average","Excellent")))</f>
        <v>Poor</v>
      </c>
    </row>
    <row r="68" spans="1:10" x14ac:dyDescent="0.35">
      <c r="A68" t="s">
        <v>93</v>
      </c>
      <c r="B68" s="3">
        <v>1000</v>
      </c>
      <c r="C68" s="3">
        <v>2000</v>
      </c>
      <c r="D68" s="2" t="str">
        <f t="shared" si="4"/>
        <v>Low Price</v>
      </c>
      <c r="E68" s="2">
        <f t="shared" si="5"/>
        <v>1000</v>
      </c>
      <c r="F68" s="1">
        <v>0.5</v>
      </c>
      <c r="G68" s="1" t="str">
        <f t="shared" si="6"/>
        <v>High Discount</v>
      </c>
      <c r="H68">
        <v>7</v>
      </c>
      <c r="I68">
        <v>2.2999999999999998</v>
      </c>
      <c r="J68" t="str">
        <f t="shared" si="7"/>
        <v>Poor</v>
      </c>
    </row>
    <row r="69" spans="1:10" x14ac:dyDescent="0.35">
      <c r="A69" t="s">
        <v>95</v>
      </c>
      <c r="B69" s="3">
        <v>3750</v>
      </c>
      <c r="C69" s="3">
        <v>6143</v>
      </c>
      <c r="D69" s="2" t="str">
        <f t="shared" si="4"/>
        <v>High Price</v>
      </c>
      <c r="E69" s="2">
        <f t="shared" si="5"/>
        <v>2393</v>
      </c>
      <c r="F69" s="1">
        <v>0.39</v>
      </c>
      <c r="G69" s="1" t="str">
        <f t="shared" si="6"/>
        <v>Medium Discount</v>
      </c>
      <c r="H69">
        <v>5</v>
      </c>
      <c r="I69">
        <v>3</v>
      </c>
      <c r="J69" t="str">
        <f t="shared" si="7"/>
        <v>Average</v>
      </c>
    </row>
    <row r="70" spans="1:10" x14ac:dyDescent="0.35">
      <c r="A70" t="s">
        <v>96</v>
      </c>
      <c r="B70" s="3">
        <v>382</v>
      </c>
      <c r="C70" s="3">
        <v>700</v>
      </c>
      <c r="D70" s="2" t="str">
        <f t="shared" si="4"/>
        <v>Low Price</v>
      </c>
      <c r="E70" s="2">
        <f t="shared" si="5"/>
        <v>318</v>
      </c>
      <c r="F70" s="1">
        <v>0.45</v>
      </c>
      <c r="G70" s="1" t="str">
        <f t="shared" si="6"/>
        <v>High Discount</v>
      </c>
      <c r="H70">
        <v>17</v>
      </c>
      <c r="I70">
        <v>2.6</v>
      </c>
      <c r="J70" t="str">
        <f t="shared" si="7"/>
        <v>Poor</v>
      </c>
    </row>
    <row r="71" spans="1:10" x14ac:dyDescent="0.35">
      <c r="A71" t="s">
        <v>98</v>
      </c>
      <c r="B71" s="3">
        <v>2300</v>
      </c>
      <c r="C71" s="3">
        <v>3240</v>
      </c>
      <c r="D71" s="2" t="str">
        <f t="shared" si="4"/>
        <v>Medium Price</v>
      </c>
      <c r="E71" s="2">
        <f t="shared" si="5"/>
        <v>940</v>
      </c>
      <c r="F71" s="1">
        <v>0.28999999999999998</v>
      </c>
      <c r="G71" s="1" t="str">
        <f t="shared" si="6"/>
        <v>Medium Discount</v>
      </c>
      <c r="H71">
        <v>5</v>
      </c>
      <c r="I71">
        <v>3</v>
      </c>
      <c r="J71" t="str">
        <f t="shared" si="7"/>
        <v>Average</v>
      </c>
    </row>
    <row r="72" spans="1:10" x14ac:dyDescent="0.35">
      <c r="A72" t="s">
        <v>99</v>
      </c>
      <c r="B72" s="3">
        <v>345</v>
      </c>
      <c r="C72" s="3">
        <v>602</v>
      </c>
      <c r="D72" s="2" t="str">
        <f t="shared" si="4"/>
        <v>Low Price</v>
      </c>
      <c r="E72" s="2">
        <f t="shared" si="5"/>
        <v>257</v>
      </c>
      <c r="F72" s="1">
        <v>0.43</v>
      </c>
      <c r="G72" s="1" t="str">
        <f t="shared" si="6"/>
        <v>High Discount</v>
      </c>
      <c r="H72">
        <v>6</v>
      </c>
      <c r="I72">
        <v>2.2999999999999998</v>
      </c>
      <c r="J72" t="str">
        <f t="shared" si="7"/>
        <v>Poor</v>
      </c>
    </row>
    <row r="73" spans="1:10" x14ac:dyDescent="0.35">
      <c r="A73" t="s">
        <v>100</v>
      </c>
      <c r="B73" s="3">
        <v>509</v>
      </c>
      <c r="C73" s="3">
        <v>899</v>
      </c>
      <c r="D73" s="2" t="str">
        <f t="shared" si="4"/>
        <v>Low Price</v>
      </c>
      <c r="E73" s="2">
        <f t="shared" si="5"/>
        <v>390</v>
      </c>
      <c r="F73" s="1">
        <v>0.43</v>
      </c>
      <c r="G73" s="1" t="str">
        <f t="shared" si="6"/>
        <v>High Discount</v>
      </c>
      <c r="H73">
        <v>5</v>
      </c>
      <c r="I73">
        <v>3</v>
      </c>
      <c r="J73" t="str">
        <f t="shared" si="7"/>
        <v>Average</v>
      </c>
    </row>
    <row r="74" spans="1:10" x14ac:dyDescent="0.35">
      <c r="A74" t="s">
        <v>101</v>
      </c>
      <c r="B74" s="3">
        <v>968</v>
      </c>
      <c r="C74" s="3">
        <v>1814</v>
      </c>
      <c r="D74" s="2" t="str">
        <f t="shared" si="4"/>
        <v>Low Price</v>
      </c>
      <c r="E74" s="2">
        <f t="shared" si="5"/>
        <v>846</v>
      </c>
      <c r="F74" s="1">
        <v>0.47</v>
      </c>
      <c r="G74" s="1" t="str">
        <f t="shared" si="6"/>
        <v>High Discount</v>
      </c>
      <c r="H74">
        <v>6</v>
      </c>
      <c r="I74">
        <v>2.2000000000000002</v>
      </c>
      <c r="J74" t="str">
        <f t="shared" si="7"/>
        <v>Poor</v>
      </c>
    </row>
    <row r="75" spans="1:10" x14ac:dyDescent="0.35">
      <c r="A75" t="s">
        <v>102</v>
      </c>
      <c r="B75" s="3">
        <v>1570</v>
      </c>
      <c r="C75" s="3">
        <v>2988</v>
      </c>
      <c r="D75" s="2" t="str">
        <f t="shared" si="4"/>
        <v>Low Price</v>
      </c>
      <c r="E75" s="2">
        <f t="shared" si="5"/>
        <v>1418</v>
      </c>
      <c r="F75" s="1">
        <v>0.47</v>
      </c>
      <c r="G75" s="1" t="str">
        <f t="shared" si="6"/>
        <v>High Discount</v>
      </c>
      <c r="H75">
        <v>7</v>
      </c>
      <c r="I75">
        <v>2.1</v>
      </c>
      <c r="J75" t="str">
        <f t="shared" si="7"/>
        <v>Poor</v>
      </c>
    </row>
    <row r="76" spans="1:10" x14ac:dyDescent="0.35">
      <c r="A76" t="s">
        <v>103</v>
      </c>
      <c r="B76" s="3">
        <v>790</v>
      </c>
      <c r="C76" s="3">
        <v>1485</v>
      </c>
      <c r="D76" s="2" t="str">
        <f t="shared" si="4"/>
        <v>Low Price</v>
      </c>
      <c r="E76" s="2">
        <f t="shared" si="5"/>
        <v>695</v>
      </c>
      <c r="F76" s="1">
        <v>0.47</v>
      </c>
      <c r="G76" s="1" t="str">
        <f t="shared" si="6"/>
        <v>High Discount</v>
      </c>
      <c r="H76" t="s">
        <v>38</v>
      </c>
      <c r="I76" t="s">
        <v>38</v>
      </c>
      <c r="J76" t="str">
        <f t="shared" si="7"/>
        <v>Unknown</v>
      </c>
    </row>
    <row r="77" spans="1:10" x14ac:dyDescent="0.35">
      <c r="A77" t="s">
        <v>104</v>
      </c>
      <c r="B77" s="3">
        <v>690</v>
      </c>
      <c r="C77" s="3">
        <v>1200</v>
      </c>
      <c r="D77" s="2" t="str">
        <f t="shared" si="4"/>
        <v>Low Price</v>
      </c>
      <c r="E77" s="2">
        <f t="shared" si="5"/>
        <v>510</v>
      </c>
      <c r="F77" s="1">
        <v>0.43</v>
      </c>
      <c r="G77" s="1" t="str">
        <f t="shared" si="6"/>
        <v>High Discount</v>
      </c>
      <c r="H77" t="s">
        <v>38</v>
      </c>
      <c r="I77" t="s">
        <v>38</v>
      </c>
      <c r="J77" t="str">
        <f t="shared" si="7"/>
        <v>Unknown</v>
      </c>
    </row>
    <row r="78" spans="1:10" x14ac:dyDescent="0.35">
      <c r="A78" t="s">
        <v>105</v>
      </c>
      <c r="B78" s="3">
        <v>1732</v>
      </c>
      <c r="C78" s="3">
        <v>1799</v>
      </c>
      <c r="D78" s="2" t="str">
        <f t="shared" si="4"/>
        <v>Low Price</v>
      </c>
      <c r="E78" s="2">
        <f t="shared" si="5"/>
        <v>67</v>
      </c>
      <c r="F78" s="1">
        <v>0.04</v>
      </c>
      <c r="G78" s="1" t="str">
        <f t="shared" si="6"/>
        <v>Low Discount</v>
      </c>
      <c r="H78" t="s">
        <v>38</v>
      </c>
      <c r="I78" t="s">
        <v>38</v>
      </c>
      <c r="J78" t="str">
        <f t="shared" si="7"/>
        <v>Unknown</v>
      </c>
    </row>
    <row r="79" spans="1:10" x14ac:dyDescent="0.35">
      <c r="A79" t="s">
        <v>106</v>
      </c>
      <c r="B79" s="3">
        <v>230</v>
      </c>
      <c r="C79" s="3">
        <v>450</v>
      </c>
      <c r="D79" s="2" t="str">
        <f t="shared" si="4"/>
        <v>Low Price</v>
      </c>
      <c r="E79" s="2">
        <f t="shared" si="5"/>
        <v>220</v>
      </c>
      <c r="F79" s="1">
        <v>0.49</v>
      </c>
      <c r="G79" s="1" t="str">
        <f t="shared" si="6"/>
        <v>High Discount</v>
      </c>
      <c r="H79" t="s">
        <v>38</v>
      </c>
      <c r="I79" t="s">
        <v>38</v>
      </c>
      <c r="J79" t="str">
        <f t="shared" si="7"/>
        <v>Unknown</v>
      </c>
    </row>
    <row r="80" spans="1:10" x14ac:dyDescent="0.35">
      <c r="A80" t="s">
        <v>107</v>
      </c>
      <c r="B80" s="3">
        <v>1189</v>
      </c>
      <c r="C80" s="3">
        <v>2199</v>
      </c>
      <c r="D80" s="2" t="str">
        <f t="shared" si="4"/>
        <v>Low Price</v>
      </c>
      <c r="E80" s="2">
        <f t="shared" si="5"/>
        <v>1010</v>
      </c>
      <c r="F80" s="1">
        <v>0.46</v>
      </c>
      <c r="G80" s="1" t="str">
        <f t="shared" si="6"/>
        <v>High Discount</v>
      </c>
      <c r="H80">
        <v>1</v>
      </c>
      <c r="I80">
        <v>3</v>
      </c>
      <c r="J80" t="str">
        <f t="shared" si="7"/>
        <v>Average</v>
      </c>
    </row>
    <row r="81" spans="1:10" x14ac:dyDescent="0.35">
      <c r="A81" t="s">
        <v>108</v>
      </c>
      <c r="B81" s="3">
        <v>979</v>
      </c>
      <c r="C81" s="3">
        <v>1920</v>
      </c>
      <c r="D81" s="2" t="str">
        <f t="shared" si="4"/>
        <v>Low Price</v>
      </c>
      <c r="E81" s="2">
        <f t="shared" si="5"/>
        <v>941</v>
      </c>
      <c r="F81" s="1">
        <v>0.49</v>
      </c>
      <c r="G81" s="1" t="str">
        <f t="shared" si="6"/>
        <v>High Discount</v>
      </c>
      <c r="H81">
        <v>1</v>
      </c>
      <c r="I81">
        <v>5</v>
      </c>
      <c r="J81" t="str">
        <f t="shared" si="7"/>
        <v>Excellent</v>
      </c>
    </row>
    <row r="82" spans="1:10" x14ac:dyDescent="0.35">
      <c r="A82" t="s">
        <v>109</v>
      </c>
      <c r="B82" s="3">
        <v>1460</v>
      </c>
      <c r="C82" s="3">
        <v>2290</v>
      </c>
      <c r="D82" s="2" t="str">
        <f t="shared" si="4"/>
        <v>Low Price</v>
      </c>
      <c r="E82" s="2">
        <f t="shared" si="5"/>
        <v>830</v>
      </c>
      <c r="F82" s="1">
        <v>0.36</v>
      </c>
      <c r="G82" s="1" t="str">
        <f t="shared" si="6"/>
        <v>Medium Discount</v>
      </c>
      <c r="H82" t="s">
        <v>38</v>
      </c>
      <c r="I82" t="s">
        <v>38</v>
      </c>
      <c r="J82" t="str">
        <f t="shared" si="7"/>
        <v>Unknown</v>
      </c>
    </row>
    <row r="83" spans="1:10" x14ac:dyDescent="0.35">
      <c r="A83" t="s">
        <v>110</v>
      </c>
      <c r="B83" s="3">
        <v>1666</v>
      </c>
      <c r="C83" s="3">
        <v>1699</v>
      </c>
      <c r="D83" s="2" t="str">
        <f t="shared" si="4"/>
        <v>Low Price</v>
      </c>
      <c r="E83" s="2">
        <f t="shared" si="5"/>
        <v>33</v>
      </c>
      <c r="F83" s="1">
        <v>0.02</v>
      </c>
      <c r="G83" s="1" t="str">
        <f t="shared" si="6"/>
        <v>Low Discount</v>
      </c>
      <c r="H83" t="s">
        <v>38</v>
      </c>
      <c r="I83" t="s">
        <v>38</v>
      </c>
      <c r="J83" t="str">
        <f t="shared" si="7"/>
        <v>Unknown</v>
      </c>
    </row>
    <row r="84" spans="1:10" x14ac:dyDescent="0.35">
      <c r="A84" t="s">
        <v>111</v>
      </c>
      <c r="B84" s="3">
        <v>330</v>
      </c>
      <c r="C84" s="3">
        <v>647</v>
      </c>
      <c r="D84" s="2" t="str">
        <f t="shared" si="4"/>
        <v>Low Price</v>
      </c>
      <c r="E84" s="2">
        <f t="shared" si="5"/>
        <v>317</v>
      </c>
      <c r="F84" s="1">
        <v>0.49</v>
      </c>
      <c r="G84" s="1" t="str">
        <f t="shared" si="6"/>
        <v>High Discount</v>
      </c>
      <c r="H84">
        <v>1</v>
      </c>
      <c r="I84">
        <v>4</v>
      </c>
      <c r="J84" t="str">
        <f t="shared" si="7"/>
        <v>Average</v>
      </c>
    </row>
    <row r="85" spans="1:10" x14ac:dyDescent="0.35">
      <c r="A85" t="s">
        <v>69</v>
      </c>
      <c r="B85" s="3">
        <v>176</v>
      </c>
      <c r="C85" s="3">
        <v>345</v>
      </c>
      <c r="D85" s="2" t="str">
        <f t="shared" si="4"/>
        <v>Low Price</v>
      </c>
      <c r="E85" s="2">
        <f t="shared" si="5"/>
        <v>169</v>
      </c>
      <c r="F85" s="1">
        <v>0.49</v>
      </c>
      <c r="G85" s="1" t="str">
        <f t="shared" si="6"/>
        <v>High Discount</v>
      </c>
      <c r="H85" t="s">
        <v>38</v>
      </c>
      <c r="I85" t="s">
        <v>38</v>
      </c>
      <c r="J85" t="str">
        <f t="shared" si="7"/>
        <v>Unknown</v>
      </c>
    </row>
    <row r="86" spans="1:10" x14ac:dyDescent="0.35">
      <c r="A86" t="s">
        <v>112</v>
      </c>
      <c r="B86" s="3">
        <v>1466</v>
      </c>
      <c r="C86" s="3">
        <v>1699</v>
      </c>
      <c r="D86" s="2" t="str">
        <f t="shared" si="4"/>
        <v>Low Price</v>
      </c>
      <c r="E86" s="2">
        <f t="shared" si="5"/>
        <v>233</v>
      </c>
      <c r="F86" s="1">
        <v>0.14000000000000001</v>
      </c>
      <c r="G86" s="1" t="str">
        <f t="shared" si="6"/>
        <v>Low Discount</v>
      </c>
      <c r="H86" t="s">
        <v>38</v>
      </c>
      <c r="I86" t="s">
        <v>38</v>
      </c>
      <c r="J86" t="str">
        <f t="shared" si="7"/>
        <v>Unknown</v>
      </c>
    </row>
    <row r="87" spans="1:10" x14ac:dyDescent="0.35">
      <c r="A87" t="s">
        <v>113</v>
      </c>
      <c r="B87" s="3">
        <v>274</v>
      </c>
      <c r="C87" s="3">
        <v>537</v>
      </c>
      <c r="D87" s="2" t="str">
        <f t="shared" si="4"/>
        <v>Low Price</v>
      </c>
      <c r="E87" s="2">
        <f t="shared" si="5"/>
        <v>263</v>
      </c>
      <c r="F87" s="1">
        <v>0.49</v>
      </c>
      <c r="G87" s="1" t="str">
        <f t="shared" si="6"/>
        <v>High Discount</v>
      </c>
      <c r="H87" t="s">
        <v>38</v>
      </c>
      <c r="I87" t="s">
        <v>38</v>
      </c>
      <c r="J87" t="str">
        <f t="shared" si="7"/>
        <v>Unknown</v>
      </c>
    </row>
    <row r="88" spans="1:10" x14ac:dyDescent="0.35">
      <c r="A88" t="s">
        <v>114</v>
      </c>
      <c r="B88" s="3">
        <v>799</v>
      </c>
      <c r="C88" s="3">
        <v>900</v>
      </c>
      <c r="D88" s="2" t="str">
        <f t="shared" si="4"/>
        <v>Low Price</v>
      </c>
      <c r="E88" s="2">
        <f t="shared" si="5"/>
        <v>101</v>
      </c>
      <c r="F88" s="1">
        <v>0.11</v>
      </c>
      <c r="G88" s="1" t="str">
        <f t="shared" si="6"/>
        <v>Low Discount</v>
      </c>
      <c r="H88" t="s">
        <v>38</v>
      </c>
      <c r="I88" t="s">
        <v>38</v>
      </c>
      <c r="J88" t="str">
        <f t="shared" si="7"/>
        <v>Unknown</v>
      </c>
    </row>
    <row r="89" spans="1:10" x14ac:dyDescent="0.35">
      <c r="A89" t="s">
        <v>77</v>
      </c>
      <c r="B89" s="3">
        <v>657</v>
      </c>
      <c r="C89" s="3">
        <v>1288</v>
      </c>
      <c r="D89" s="2" t="str">
        <f t="shared" si="4"/>
        <v>Low Price</v>
      </c>
      <c r="E89" s="2">
        <f t="shared" si="5"/>
        <v>631</v>
      </c>
      <c r="F89" s="1">
        <v>0.49</v>
      </c>
      <c r="G89" s="1" t="str">
        <f t="shared" si="6"/>
        <v>High Discount</v>
      </c>
      <c r="H89" t="s">
        <v>38</v>
      </c>
      <c r="I89" t="s">
        <v>38</v>
      </c>
      <c r="J89" t="str">
        <f t="shared" si="7"/>
        <v>Unknown</v>
      </c>
    </row>
    <row r="90" spans="1:10" x14ac:dyDescent="0.35">
      <c r="A90" t="s">
        <v>115</v>
      </c>
      <c r="B90" s="3">
        <v>1468</v>
      </c>
      <c r="C90" s="3">
        <v>1699</v>
      </c>
      <c r="D90" s="2" t="str">
        <f t="shared" si="4"/>
        <v>Low Price</v>
      </c>
      <c r="E90" s="2">
        <f t="shared" si="5"/>
        <v>231</v>
      </c>
      <c r="F90" s="1">
        <v>0.14000000000000001</v>
      </c>
      <c r="G90" s="1" t="str">
        <f t="shared" si="6"/>
        <v>Low Discount</v>
      </c>
      <c r="H90" t="s">
        <v>38</v>
      </c>
      <c r="I90" t="s">
        <v>38</v>
      </c>
      <c r="J90" t="str">
        <f t="shared" si="7"/>
        <v>Unknown</v>
      </c>
    </row>
    <row r="91" spans="1:10" x14ac:dyDescent="0.35">
      <c r="A91" t="s">
        <v>116</v>
      </c>
      <c r="B91" s="3">
        <v>630</v>
      </c>
      <c r="C91" s="3">
        <v>1100</v>
      </c>
      <c r="D91" s="2" t="str">
        <f t="shared" si="4"/>
        <v>Low Price</v>
      </c>
      <c r="E91" s="2">
        <f t="shared" si="5"/>
        <v>470</v>
      </c>
      <c r="F91" s="1">
        <v>0.43</v>
      </c>
      <c r="G91" s="1" t="str">
        <f t="shared" si="6"/>
        <v>High Discount</v>
      </c>
      <c r="H91" t="s">
        <v>38</v>
      </c>
      <c r="I91" t="s">
        <v>38</v>
      </c>
      <c r="J91" t="str">
        <f t="shared" si="7"/>
        <v>Unknown</v>
      </c>
    </row>
    <row r="92" spans="1:10" x14ac:dyDescent="0.35">
      <c r="A92" t="s">
        <v>117</v>
      </c>
      <c r="B92" s="3">
        <v>850</v>
      </c>
      <c r="C92" s="3">
        <v>1700</v>
      </c>
      <c r="D92" s="2" t="str">
        <f t="shared" si="4"/>
        <v>Low Price</v>
      </c>
      <c r="E92" s="2">
        <f t="shared" si="5"/>
        <v>850</v>
      </c>
      <c r="F92" s="1">
        <v>0.5</v>
      </c>
      <c r="G92" s="1" t="str">
        <f t="shared" si="6"/>
        <v>High Discount</v>
      </c>
      <c r="H92" t="s">
        <v>38</v>
      </c>
      <c r="I92" t="s">
        <v>38</v>
      </c>
      <c r="J92" t="str">
        <f t="shared" si="7"/>
        <v>Unknown</v>
      </c>
    </row>
    <row r="93" spans="1:10" x14ac:dyDescent="0.35">
      <c r="A93" t="s">
        <v>118</v>
      </c>
      <c r="B93" s="3">
        <v>1300</v>
      </c>
      <c r="C93" s="3">
        <v>2500</v>
      </c>
      <c r="D93" s="2" t="str">
        <f t="shared" si="4"/>
        <v>Low Price</v>
      </c>
      <c r="E93" s="2">
        <f t="shared" si="5"/>
        <v>1200</v>
      </c>
      <c r="F93" s="1">
        <v>0.48</v>
      </c>
      <c r="G93" s="1" t="str">
        <f t="shared" si="6"/>
        <v>High Discount</v>
      </c>
      <c r="H93" t="s">
        <v>38</v>
      </c>
      <c r="I93" t="s">
        <v>38</v>
      </c>
      <c r="J93" t="str">
        <f t="shared" si="7"/>
        <v>Unknown</v>
      </c>
    </row>
    <row r="94" spans="1:10" x14ac:dyDescent="0.35">
      <c r="A94" t="s">
        <v>119</v>
      </c>
      <c r="B94" s="3">
        <v>105</v>
      </c>
      <c r="C94" s="3">
        <v>200</v>
      </c>
      <c r="D94" s="2" t="str">
        <f t="shared" si="4"/>
        <v>Low Price</v>
      </c>
      <c r="E94" s="2">
        <f t="shared" si="5"/>
        <v>95</v>
      </c>
      <c r="F94" s="1">
        <v>0.48</v>
      </c>
      <c r="G94" s="1" t="str">
        <f t="shared" si="6"/>
        <v>High Discount</v>
      </c>
      <c r="H94" t="s">
        <v>38</v>
      </c>
      <c r="I94" t="s">
        <v>38</v>
      </c>
      <c r="J94" t="str">
        <f t="shared" si="7"/>
        <v>Unknown</v>
      </c>
    </row>
    <row r="95" spans="1:10" x14ac:dyDescent="0.35">
      <c r="A95" t="s">
        <v>120</v>
      </c>
      <c r="B95" s="3">
        <v>899</v>
      </c>
      <c r="C95" s="3">
        <v>1699</v>
      </c>
      <c r="D95" s="2" t="str">
        <f t="shared" si="4"/>
        <v>Low Price</v>
      </c>
      <c r="E95" s="2">
        <f t="shared" si="5"/>
        <v>800</v>
      </c>
      <c r="F95" s="1">
        <v>0.47</v>
      </c>
      <c r="G95" s="1" t="str">
        <f t="shared" si="6"/>
        <v>High Discount</v>
      </c>
      <c r="H95" t="s">
        <v>38</v>
      </c>
      <c r="I95" t="s">
        <v>38</v>
      </c>
      <c r="J95" t="str">
        <f t="shared" si="7"/>
        <v>Unknown</v>
      </c>
    </row>
    <row r="96" spans="1:10" x14ac:dyDescent="0.35">
      <c r="A96" t="s">
        <v>121</v>
      </c>
      <c r="B96" s="3">
        <v>1200</v>
      </c>
      <c r="C96" s="3">
        <v>2400</v>
      </c>
      <c r="D96" s="2" t="str">
        <f t="shared" si="4"/>
        <v>Low Price</v>
      </c>
      <c r="E96" s="2">
        <f t="shared" si="5"/>
        <v>1200</v>
      </c>
      <c r="F96" s="1">
        <v>0.5</v>
      </c>
      <c r="G96" s="1" t="str">
        <f t="shared" si="6"/>
        <v>High Discount</v>
      </c>
      <c r="H96" t="s">
        <v>38</v>
      </c>
      <c r="I96" t="s">
        <v>38</v>
      </c>
      <c r="J96" t="str">
        <f t="shared" si="7"/>
        <v>Unknown</v>
      </c>
    </row>
    <row r="97" spans="1:10" x14ac:dyDescent="0.35">
      <c r="A97" t="s">
        <v>122</v>
      </c>
      <c r="B97" s="3">
        <v>1526</v>
      </c>
      <c r="C97" s="3">
        <v>1660</v>
      </c>
      <c r="D97" s="2" t="str">
        <f t="shared" si="4"/>
        <v>Low Price</v>
      </c>
      <c r="E97" s="2">
        <f t="shared" si="5"/>
        <v>134</v>
      </c>
      <c r="F97" s="1">
        <v>0.08</v>
      </c>
      <c r="G97" s="1" t="str">
        <f t="shared" si="6"/>
        <v>Low Discount</v>
      </c>
      <c r="H97" t="s">
        <v>38</v>
      </c>
      <c r="I97" t="s">
        <v>38</v>
      </c>
      <c r="J97" t="str">
        <f t="shared" si="7"/>
        <v>Unknown</v>
      </c>
    </row>
    <row r="98" spans="1:10" x14ac:dyDescent="0.35">
      <c r="A98" t="s">
        <v>123</v>
      </c>
      <c r="B98" s="3">
        <v>1462</v>
      </c>
      <c r="C98" s="3">
        <v>1499</v>
      </c>
      <c r="D98" s="2" t="str">
        <f t="shared" si="4"/>
        <v>Low Price</v>
      </c>
      <c r="E98" s="2">
        <f t="shared" si="5"/>
        <v>37</v>
      </c>
      <c r="F98" s="1">
        <v>0.02</v>
      </c>
      <c r="G98" s="1" t="str">
        <f t="shared" si="6"/>
        <v>Low Discount</v>
      </c>
      <c r="H98" t="s">
        <v>38</v>
      </c>
      <c r="I98" t="s">
        <v>38</v>
      </c>
      <c r="J98" t="str">
        <f t="shared" si="7"/>
        <v>Unknown</v>
      </c>
    </row>
    <row r="99" spans="1:10" x14ac:dyDescent="0.35">
      <c r="A99" t="s">
        <v>124</v>
      </c>
      <c r="B99" s="3">
        <v>248</v>
      </c>
      <c r="C99" s="3">
        <v>486</v>
      </c>
      <c r="D99" s="2" t="str">
        <f t="shared" si="4"/>
        <v>Low Price</v>
      </c>
      <c r="E99" s="2">
        <f t="shared" si="5"/>
        <v>238</v>
      </c>
      <c r="F99" s="1">
        <v>0.49</v>
      </c>
      <c r="G99" s="1" t="str">
        <f t="shared" si="6"/>
        <v>High Discount</v>
      </c>
      <c r="H99" t="s">
        <v>38</v>
      </c>
      <c r="I99" t="s">
        <v>38</v>
      </c>
      <c r="J99" t="str">
        <f t="shared" si="7"/>
        <v>Unknown</v>
      </c>
    </row>
    <row r="100" spans="1:10" x14ac:dyDescent="0.35">
      <c r="A100" t="s">
        <v>125</v>
      </c>
      <c r="B100" s="3">
        <v>3546</v>
      </c>
      <c r="C100" s="3">
        <v>3699</v>
      </c>
      <c r="D100" s="2" t="str">
        <f t="shared" si="4"/>
        <v>High Price</v>
      </c>
      <c r="E100" s="2">
        <f t="shared" si="5"/>
        <v>153</v>
      </c>
      <c r="F100" s="1">
        <v>0.04</v>
      </c>
      <c r="G100" s="1" t="str">
        <f t="shared" si="6"/>
        <v>Low Discount</v>
      </c>
      <c r="H100" t="s">
        <v>38</v>
      </c>
      <c r="I100" t="s">
        <v>38</v>
      </c>
      <c r="J100" t="str">
        <f t="shared" si="7"/>
        <v>Unknown</v>
      </c>
    </row>
    <row r="101" spans="1:10" x14ac:dyDescent="0.35">
      <c r="A101" t="s">
        <v>126</v>
      </c>
      <c r="B101" s="3">
        <v>525</v>
      </c>
      <c r="C101" s="3">
        <v>1029</v>
      </c>
      <c r="D101" s="2" t="str">
        <f t="shared" si="4"/>
        <v>Low Price</v>
      </c>
      <c r="E101" s="2">
        <f t="shared" si="5"/>
        <v>504</v>
      </c>
      <c r="F101" s="1">
        <v>0.49</v>
      </c>
      <c r="G101" s="1" t="str">
        <f t="shared" si="6"/>
        <v>High Discount</v>
      </c>
      <c r="H101" t="s">
        <v>38</v>
      </c>
      <c r="I101" t="s">
        <v>38</v>
      </c>
      <c r="J101" t="str">
        <f t="shared" si="7"/>
        <v>Unknown</v>
      </c>
    </row>
    <row r="102" spans="1:10" x14ac:dyDescent="0.35">
      <c r="A102" t="s">
        <v>127</v>
      </c>
      <c r="B102" s="3">
        <v>1080</v>
      </c>
      <c r="C102" s="3">
        <v>1874</v>
      </c>
      <c r="D102" s="2" t="str">
        <f t="shared" si="4"/>
        <v>Low Price</v>
      </c>
      <c r="E102" s="2">
        <f t="shared" si="5"/>
        <v>794</v>
      </c>
      <c r="F102" s="1">
        <v>0.42</v>
      </c>
      <c r="G102" s="1" t="str">
        <f t="shared" si="6"/>
        <v>High Discount</v>
      </c>
      <c r="H102" t="s">
        <v>38</v>
      </c>
      <c r="I102" t="s">
        <v>38</v>
      </c>
      <c r="J102" t="str">
        <f t="shared" si="7"/>
        <v>Unknown</v>
      </c>
    </row>
    <row r="103" spans="1:10" x14ac:dyDescent="0.35">
      <c r="A103" t="s">
        <v>128</v>
      </c>
      <c r="B103" s="3">
        <v>3640</v>
      </c>
      <c r="C103" s="3">
        <v>4588</v>
      </c>
      <c r="D103" s="2" t="str">
        <f t="shared" si="4"/>
        <v>High Price</v>
      </c>
      <c r="E103" s="2">
        <f t="shared" si="5"/>
        <v>948</v>
      </c>
      <c r="F103" s="1">
        <v>0.21</v>
      </c>
      <c r="G103" s="1" t="str">
        <f t="shared" si="6"/>
        <v>Medium Discount</v>
      </c>
      <c r="H103">
        <v>1</v>
      </c>
      <c r="I103">
        <v>5</v>
      </c>
      <c r="J103" t="str">
        <f t="shared" si="7"/>
        <v>Excellent</v>
      </c>
    </row>
    <row r="104" spans="1:10" x14ac:dyDescent="0.35">
      <c r="A104" t="s">
        <v>129</v>
      </c>
      <c r="B104" s="3">
        <v>1420</v>
      </c>
      <c r="C104" s="3">
        <v>2420</v>
      </c>
      <c r="D104" s="2" t="str">
        <f t="shared" si="4"/>
        <v>Low Price</v>
      </c>
      <c r="E104" s="2">
        <f t="shared" si="5"/>
        <v>1000</v>
      </c>
      <c r="F104" s="1">
        <v>0.41</v>
      </c>
      <c r="G104" s="1" t="str">
        <f t="shared" si="6"/>
        <v>High Discount</v>
      </c>
      <c r="H104" t="s">
        <v>38</v>
      </c>
      <c r="I104" t="s">
        <v>38</v>
      </c>
      <c r="J104" t="str">
        <f t="shared" si="7"/>
        <v>Unknown</v>
      </c>
    </row>
    <row r="105" spans="1:10" x14ac:dyDescent="0.35">
      <c r="A105" t="s">
        <v>130</v>
      </c>
      <c r="B105" s="3">
        <v>1875</v>
      </c>
      <c r="C105" s="3">
        <v>1899</v>
      </c>
      <c r="D105" s="2" t="str">
        <f t="shared" si="4"/>
        <v>Low Price</v>
      </c>
      <c r="E105" s="2">
        <f t="shared" si="5"/>
        <v>24</v>
      </c>
      <c r="F105" s="1">
        <v>0.01</v>
      </c>
      <c r="G105" s="1" t="str">
        <f t="shared" si="6"/>
        <v>Low Discount</v>
      </c>
      <c r="H105" t="s">
        <v>38</v>
      </c>
      <c r="I105" t="s">
        <v>38</v>
      </c>
      <c r="J105" t="str">
        <f t="shared" si="7"/>
        <v>Unknown</v>
      </c>
    </row>
    <row r="106" spans="1:10" x14ac:dyDescent="0.35">
      <c r="A106" t="s">
        <v>131</v>
      </c>
      <c r="B106" s="3">
        <v>198</v>
      </c>
      <c r="C106" s="3">
        <v>260</v>
      </c>
      <c r="D106" s="2" t="str">
        <f t="shared" si="4"/>
        <v>Low Price</v>
      </c>
      <c r="E106" s="2">
        <f t="shared" si="5"/>
        <v>62</v>
      </c>
      <c r="F106" s="1">
        <v>0.24</v>
      </c>
      <c r="G106" s="1" t="str">
        <f t="shared" si="6"/>
        <v>Medium Discount</v>
      </c>
      <c r="H106" t="s">
        <v>38</v>
      </c>
      <c r="I106" t="s">
        <v>38</v>
      </c>
      <c r="J106" t="str">
        <f t="shared" si="7"/>
        <v>Unknown</v>
      </c>
    </row>
    <row r="107" spans="1:10" x14ac:dyDescent="0.35">
      <c r="A107" t="s">
        <v>132</v>
      </c>
      <c r="B107" s="3">
        <v>1150</v>
      </c>
      <c r="C107" s="3">
        <v>1737</v>
      </c>
      <c r="D107" s="2" t="str">
        <f t="shared" si="4"/>
        <v>Low Price</v>
      </c>
      <c r="E107" s="2">
        <f t="shared" si="5"/>
        <v>587</v>
      </c>
      <c r="F107" s="1">
        <v>0.34</v>
      </c>
      <c r="G107" s="1" t="str">
        <f t="shared" si="6"/>
        <v>Medium Discount</v>
      </c>
      <c r="H107" t="s">
        <v>38</v>
      </c>
      <c r="I107" t="s">
        <v>38</v>
      </c>
      <c r="J107" t="str">
        <f t="shared" si="7"/>
        <v>Unknown</v>
      </c>
    </row>
    <row r="108" spans="1:10" x14ac:dyDescent="0.35">
      <c r="A108" t="s">
        <v>133</v>
      </c>
      <c r="B108" s="3">
        <v>1190</v>
      </c>
      <c r="C108" s="3">
        <v>1810</v>
      </c>
      <c r="D108" s="2" t="str">
        <f t="shared" si="4"/>
        <v>Low Price</v>
      </c>
      <c r="E108" s="2">
        <f t="shared" si="5"/>
        <v>620</v>
      </c>
      <c r="F108" s="1">
        <v>0.34</v>
      </c>
      <c r="G108" s="1" t="str">
        <f t="shared" si="6"/>
        <v>Medium Discount</v>
      </c>
      <c r="H108" t="s">
        <v>38</v>
      </c>
      <c r="I108" t="s">
        <v>38</v>
      </c>
      <c r="J108" t="str">
        <f t="shared" si="7"/>
        <v>Unknown</v>
      </c>
    </row>
    <row r="109" spans="1:10" x14ac:dyDescent="0.35">
      <c r="A109" t="s">
        <v>134</v>
      </c>
      <c r="B109" s="3">
        <v>1658</v>
      </c>
      <c r="C109" s="3">
        <v>1699</v>
      </c>
      <c r="D109" s="2" t="str">
        <f t="shared" si="4"/>
        <v>Low Price</v>
      </c>
      <c r="E109" s="2">
        <f t="shared" si="5"/>
        <v>41</v>
      </c>
      <c r="F109" s="1">
        <v>0.02</v>
      </c>
      <c r="G109" s="1" t="str">
        <f t="shared" si="6"/>
        <v>Low Discount</v>
      </c>
      <c r="H109" t="s">
        <v>38</v>
      </c>
      <c r="I109" t="s">
        <v>38</v>
      </c>
      <c r="J109" t="str">
        <f t="shared" si="7"/>
        <v>Unknown</v>
      </c>
    </row>
    <row r="110" spans="1:10" x14ac:dyDescent="0.35">
      <c r="A110" t="s">
        <v>135</v>
      </c>
      <c r="B110" s="3">
        <v>1768</v>
      </c>
      <c r="C110" s="3">
        <v>1799</v>
      </c>
      <c r="D110" s="2" t="str">
        <f t="shared" si="4"/>
        <v>Low Price</v>
      </c>
      <c r="E110" s="2">
        <f t="shared" si="5"/>
        <v>31</v>
      </c>
      <c r="F110" s="1">
        <v>0.02</v>
      </c>
      <c r="G110" s="1" t="str">
        <f t="shared" si="6"/>
        <v>Low Discount</v>
      </c>
      <c r="H110" t="s">
        <v>38</v>
      </c>
      <c r="I110" t="s">
        <v>38</v>
      </c>
      <c r="J110" t="str">
        <f t="shared" si="7"/>
        <v>Unknown</v>
      </c>
    </row>
    <row r="111" spans="1:10" x14ac:dyDescent="0.35">
      <c r="A111" t="s">
        <v>136</v>
      </c>
      <c r="B111" s="3">
        <v>199</v>
      </c>
      <c r="C111" s="3">
        <v>553</v>
      </c>
      <c r="D111" s="2" t="str">
        <f t="shared" si="4"/>
        <v>Low Price</v>
      </c>
      <c r="E111" s="2">
        <f t="shared" si="5"/>
        <v>354</v>
      </c>
      <c r="F111" s="1">
        <v>0.64</v>
      </c>
      <c r="G111" s="1" t="str">
        <f t="shared" si="6"/>
        <v>High Discount</v>
      </c>
      <c r="H111" t="s">
        <v>38</v>
      </c>
      <c r="I111" t="s">
        <v>38</v>
      </c>
      <c r="J111" t="str">
        <f t="shared" si="7"/>
        <v>Unknown</v>
      </c>
    </row>
    <row r="112" spans="1:10" x14ac:dyDescent="0.35">
      <c r="A112" t="s">
        <v>137</v>
      </c>
      <c r="B112" s="3">
        <v>450</v>
      </c>
      <c r="C112" s="3">
        <v>900</v>
      </c>
      <c r="D112" s="2" t="str">
        <f t="shared" si="4"/>
        <v>Low Price</v>
      </c>
      <c r="E112" s="2">
        <f t="shared" si="5"/>
        <v>450</v>
      </c>
      <c r="F112" s="1">
        <v>0.5</v>
      </c>
      <c r="G112" s="1" t="str">
        <f t="shared" si="6"/>
        <v>High Discount</v>
      </c>
      <c r="H112">
        <v>1</v>
      </c>
      <c r="I112">
        <v>2</v>
      </c>
      <c r="J112" t="str">
        <f t="shared" si="7"/>
        <v>Poor</v>
      </c>
    </row>
    <row r="113" spans="1:10" x14ac:dyDescent="0.35">
      <c r="A113" t="s">
        <v>139</v>
      </c>
      <c r="B113" s="3">
        <v>169</v>
      </c>
      <c r="C113" s="3">
        <v>320</v>
      </c>
      <c r="D113" s="2" t="str">
        <f t="shared" si="4"/>
        <v>Low Price</v>
      </c>
      <c r="E113" s="2">
        <f t="shared" si="5"/>
        <v>151</v>
      </c>
      <c r="F113" s="1">
        <v>0.47</v>
      </c>
      <c r="G113" s="1" t="str">
        <f t="shared" si="6"/>
        <v>High Discount</v>
      </c>
      <c r="H113" t="s">
        <v>38</v>
      </c>
      <c r="I113" t="s">
        <v>38</v>
      </c>
      <c r="J113" t="str">
        <f t="shared" si="7"/>
        <v>Unknown</v>
      </c>
    </row>
    <row r="114" spans="1:10" x14ac:dyDescent="0.35">
      <c r="F114" s="1"/>
      <c r="G114" s="1"/>
    </row>
    <row r="115" spans="1:10" ht="15" thickBot="1" x14ac:dyDescent="0.4">
      <c r="A115" s="7">
        <f>COUNTA(A2:A113)</f>
        <v>112</v>
      </c>
      <c r="B115" s="8">
        <f>AVERAGE(B2:B113)</f>
        <v>1186.8928571428571</v>
      </c>
      <c r="C115" s="8">
        <f>AVERAGE(C2:C113)</f>
        <v>1811.1071428571429</v>
      </c>
      <c r="D115" s="9"/>
      <c r="E115" s="9"/>
      <c r="F115" s="10">
        <f>AVERAGE(F2:F113)</f>
        <v>0.36776785714285715</v>
      </c>
      <c r="G115" s="7"/>
      <c r="H115" s="7">
        <f>SUM(H2:H113)</f>
        <v>723</v>
      </c>
      <c r="I115" s="7">
        <f>AVERAGE(I2:I113)</f>
        <v>3.8894736842105258</v>
      </c>
    </row>
    <row r="116" spans="1:10" ht="15.5" thickTop="1" thickBot="1" x14ac:dyDescent="0.4">
      <c r="B116" s="11">
        <f>MAX(B2:B113)</f>
        <v>3750</v>
      </c>
    </row>
    <row r="117" spans="1:10" ht="15.5" thickTop="1" thickBot="1" x14ac:dyDescent="0.4">
      <c r="B117" s="11">
        <f>MIN(B2:B113)</f>
        <v>38</v>
      </c>
    </row>
    <row r="118" spans="1:10" ht="15" thickTop="1" x14ac:dyDescent="0.35"/>
    <row r="120" spans="1:10" ht="15.5" x14ac:dyDescent="0.35">
      <c r="A120" s="5" t="s">
        <v>144</v>
      </c>
    </row>
    <row r="122" spans="1:10" x14ac:dyDescent="0.35">
      <c r="A122" s="4" t="s">
        <v>145</v>
      </c>
      <c r="B122" s="12">
        <v>1186.8928571428571</v>
      </c>
    </row>
    <row r="123" spans="1:10" x14ac:dyDescent="0.35">
      <c r="A123" s="4" t="s">
        <v>146</v>
      </c>
      <c r="B123" s="12">
        <f>AVERAGE(B10:B121)</f>
        <v>1164.5317089452603</v>
      </c>
    </row>
    <row r="124" spans="1:10" x14ac:dyDescent="0.35">
      <c r="A124" s="4" t="s">
        <v>147</v>
      </c>
      <c r="B124" s="13">
        <v>0.36776785714285715</v>
      </c>
    </row>
    <row r="125" spans="1:10" x14ac:dyDescent="0.35">
      <c r="A125" s="4" t="s">
        <v>148</v>
      </c>
      <c r="B125" s="12">
        <v>3.8894736842105258</v>
      </c>
    </row>
    <row r="126" spans="1:10" x14ac:dyDescent="0.35">
      <c r="A126" s="4" t="s">
        <v>149</v>
      </c>
      <c r="B126" s="12">
        <v>112</v>
      </c>
    </row>
    <row r="127" spans="1:10" x14ac:dyDescent="0.35">
      <c r="A127" s="4" t="s">
        <v>150</v>
      </c>
      <c r="B127" s="12">
        <v>723</v>
      </c>
    </row>
    <row r="128" spans="1:10" x14ac:dyDescent="0.35">
      <c r="A128" s="4" t="s">
        <v>152</v>
      </c>
      <c r="B128" s="12">
        <v>3750</v>
      </c>
    </row>
    <row r="129" spans="1:2" x14ac:dyDescent="0.35">
      <c r="A129" s="4" t="s">
        <v>153</v>
      </c>
      <c r="B129" s="12">
        <v>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551AE-657B-492C-8413-169553688BA2}">
  <dimension ref="A3:B7"/>
  <sheetViews>
    <sheetView workbookViewId="0">
      <selection activeCell="G4" sqref="G4"/>
    </sheetView>
  </sheetViews>
  <sheetFormatPr defaultRowHeight="14.5" x14ac:dyDescent="0.35"/>
  <cols>
    <col min="1" max="1" width="15.6328125" bestFit="1" customWidth="1"/>
    <col min="2" max="2" width="16.1796875" bestFit="1" customWidth="1"/>
  </cols>
  <sheetData>
    <row r="3" spans="1:2" x14ac:dyDescent="0.35">
      <c r="A3" s="14" t="s">
        <v>154</v>
      </c>
      <c r="B3" t="s">
        <v>159</v>
      </c>
    </row>
    <row r="4" spans="1:2" x14ac:dyDescent="0.35">
      <c r="A4" s="15" t="s">
        <v>155</v>
      </c>
      <c r="B4" s="17">
        <v>11.133333333333333</v>
      </c>
    </row>
    <row r="5" spans="1:2" x14ac:dyDescent="0.35">
      <c r="A5" s="15" t="s">
        <v>156</v>
      </c>
      <c r="B5" s="17">
        <v>9.5</v>
      </c>
    </row>
    <row r="6" spans="1:2" x14ac:dyDescent="0.35">
      <c r="A6" s="15" t="s">
        <v>157</v>
      </c>
      <c r="B6" s="17">
        <v>15.260869565217391</v>
      </c>
    </row>
    <row r="7" spans="1:2" x14ac:dyDescent="0.35">
      <c r="A7" s="15" t="s">
        <v>158</v>
      </c>
      <c r="B7" s="17">
        <v>12.684210526315789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E42C1-2CDE-46C7-BD4A-EF884199F302}">
  <dimension ref="A3:B8"/>
  <sheetViews>
    <sheetView workbookViewId="0">
      <selection activeCell="J19" sqref="J19"/>
    </sheetView>
  </sheetViews>
  <sheetFormatPr defaultRowHeight="14.5" x14ac:dyDescent="0.35"/>
  <cols>
    <col min="1" max="1" width="12.36328125" bestFit="1" customWidth="1"/>
    <col min="2" max="2" width="16.1796875" bestFit="1" customWidth="1"/>
  </cols>
  <sheetData>
    <row r="3" spans="1:2" x14ac:dyDescent="0.35">
      <c r="A3" s="14" t="s">
        <v>154</v>
      </c>
      <c r="B3" t="s">
        <v>159</v>
      </c>
    </row>
    <row r="4" spans="1:2" x14ac:dyDescent="0.35">
      <c r="A4" s="15" t="s">
        <v>160</v>
      </c>
      <c r="B4" s="17">
        <v>10.192307692307692</v>
      </c>
    </row>
    <row r="5" spans="1:2" x14ac:dyDescent="0.35">
      <c r="A5" s="15" t="s">
        <v>161</v>
      </c>
      <c r="B5" s="17">
        <v>15.210526315789474</v>
      </c>
    </row>
    <row r="6" spans="1:2" x14ac:dyDescent="0.35">
      <c r="A6" s="15" t="s">
        <v>162</v>
      </c>
      <c r="B6" s="17">
        <v>14.083333333333334</v>
      </c>
    </row>
    <row r="7" spans="1:2" x14ac:dyDescent="0.35">
      <c r="A7" s="15" t="s">
        <v>38</v>
      </c>
      <c r="B7" s="17" t="e">
        <v>#DIV/0!</v>
      </c>
    </row>
    <row r="8" spans="1:2" x14ac:dyDescent="0.35">
      <c r="A8" s="15" t="s">
        <v>158</v>
      </c>
      <c r="B8" s="17">
        <v>12.684210526315789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A1274-FF3A-4137-AAC2-76126C898A09}">
  <dimension ref="A3:B7"/>
  <sheetViews>
    <sheetView topLeftCell="A10" workbookViewId="0">
      <selection activeCell="B6" sqref="B6"/>
    </sheetView>
  </sheetViews>
  <sheetFormatPr defaultRowHeight="14.5" x14ac:dyDescent="0.35"/>
  <cols>
    <col min="1" max="1" width="12.36328125" bestFit="1" customWidth="1"/>
    <col min="2" max="2" width="15.54296875" bestFit="1" customWidth="1"/>
  </cols>
  <sheetData>
    <row r="3" spans="1:2" x14ac:dyDescent="0.35">
      <c r="A3" s="14" t="s">
        <v>154</v>
      </c>
      <c r="B3" t="s">
        <v>163</v>
      </c>
    </row>
    <row r="4" spans="1:2" x14ac:dyDescent="0.35">
      <c r="A4" s="15" t="s">
        <v>164</v>
      </c>
      <c r="B4" s="17">
        <v>4</v>
      </c>
    </row>
    <row r="5" spans="1:2" x14ac:dyDescent="0.35">
      <c r="A5" s="15" t="s">
        <v>165</v>
      </c>
      <c r="B5" s="17">
        <v>3.8933333333333331</v>
      </c>
    </row>
    <row r="6" spans="1:2" x14ac:dyDescent="0.35">
      <c r="A6" s="15" t="s">
        <v>166</v>
      </c>
      <c r="B6" s="17">
        <v>3.85</v>
      </c>
    </row>
    <row r="7" spans="1:2" x14ac:dyDescent="0.35">
      <c r="A7" s="15" t="s">
        <v>158</v>
      </c>
      <c r="B7" s="17">
        <v>3.8894736842105262</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4091A-B42C-47C3-8CB3-97CFAB9A60C3}">
  <dimension ref="A3:B113"/>
  <sheetViews>
    <sheetView topLeftCell="A19" workbookViewId="0">
      <selection activeCell="B4" sqref="B4"/>
    </sheetView>
  </sheetViews>
  <sheetFormatPr defaultRowHeight="14.5" x14ac:dyDescent="0.35"/>
  <cols>
    <col min="1" max="1" width="89.1796875" bestFit="1" customWidth="1"/>
    <col min="2" max="2" width="15.54296875" bestFit="1" customWidth="1"/>
  </cols>
  <sheetData>
    <row r="3" spans="1:2" x14ac:dyDescent="0.35">
      <c r="A3" s="14" t="s">
        <v>154</v>
      </c>
      <c r="B3" t="s">
        <v>163</v>
      </c>
    </row>
    <row r="4" spans="1:2" x14ac:dyDescent="0.35">
      <c r="A4" s="15" t="s">
        <v>55</v>
      </c>
      <c r="B4" s="17">
        <v>5</v>
      </c>
    </row>
    <row r="5" spans="1:2" x14ac:dyDescent="0.35">
      <c r="A5" s="15" t="s">
        <v>32</v>
      </c>
      <c r="B5" s="17">
        <v>5</v>
      </c>
    </row>
    <row r="6" spans="1:2" x14ac:dyDescent="0.35">
      <c r="A6" s="15" t="s">
        <v>128</v>
      </c>
      <c r="B6" s="17">
        <v>5</v>
      </c>
    </row>
    <row r="7" spans="1:2" x14ac:dyDescent="0.35">
      <c r="A7" s="15" t="s">
        <v>29</v>
      </c>
      <c r="B7" s="17">
        <v>5</v>
      </c>
    </row>
    <row r="8" spans="1:2" x14ac:dyDescent="0.35">
      <c r="A8" s="15" t="s">
        <v>31</v>
      </c>
      <c r="B8" s="17">
        <v>5</v>
      </c>
    </row>
    <row r="9" spans="1:2" x14ac:dyDescent="0.35">
      <c r="A9" s="15" t="s">
        <v>108</v>
      </c>
      <c r="B9" s="17">
        <v>5</v>
      </c>
    </row>
    <row r="10" spans="1:2" x14ac:dyDescent="0.35">
      <c r="A10" s="15" t="s">
        <v>54</v>
      </c>
      <c r="B10" s="17">
        <v>5</v>
      </c>
    </row>
    <row r="11" spans="1:2" x14ac:dyDescent="0.35">
      <c r="A11" s="15" t="s">
        <v>25</v>
      </c>
      <c r="B11" s="17">
        <v>4.8</v>
      </c>
    </row>
    <row r="12" spans="1:2" x14ac:dyDescent="0.35">
      <c r="A12" s="15" t="s">
        <v>14</v>
      </c>
      <c r="B12" s="17">
        <v>4.8</v>
      </c>
    </row>
    <row r="13" spans="1:2" x14ac:dyDescent="0.35">
      <c r="A13" s="15" t="s">
        <v>20</v>
      </c>
      <c r="B13" s="17">
        <v>4.8</v>
      </c>
    </row>
    <row r="14" spans="1:2" x14ac:dyDescent="0.35">
      <c r="A14" s="15" t="s">
        <v>50</v>
      </c>
      <c r="B14" s="17">
        <v>4.7</v>
      </c>
    </row>
    <row r="15" spans="1:2" x14ac:dyDescent="0.35">
      <c r="A15" s="15" t="s">
        <v>24</v>
      </c>
      <c r="B15" s="17">
        <v>4.7</v>
      </c>
    </row>
    <row r="16" spans="1:2" x14ac:dyDescent="0.35">
      <c r="A16" s="15" t="s">
        <v>52</v>
      </c>
      <c r="B16" s="17">
        <v>4.7</v>
      </c>
    </row>
    <row r="17" spans="1:2" x14ac:dyDescent="0.35">
      <c r="A17" s="15" t="s">
        <v>12</v>
      </c>
      <c r="B17" s="17">
        <v>4.7</v>
      </c>
    </row>
    <row r="18" spans="1:2" x14ac:dyDescent="0.35">
      <c r="A18" s="15" t="s">
        <v>18</v>
      </c>
      <c r="B18" s="17">
        <v>4.5999999999999996</v>
      </c>
    </row>
    <row r="19" spans="1:2" x14ac:dyDescent="0.35">
      <c r="A19" s="15" t="s">
        <v>33</v>
      </c>
      <c r="B19" s="17">
        <v>4.5999999999999996</v>
      </c>
    </row>
    <row r="20" spans="1:2" x14ac:dyDescent="0.35">
      <c r="A20" s="15" t="s">
        <v>34</v>
      </c>
      <c r="B20" s="17">
        <v>4.5999999999999996</v>
      </c>
    </row>
    <row r="21" spans="1:2" x14ac:dyDescent="0.35">
      <c r="A21" s="15" t="s">
        <v>10</v>
      </c>
      <c r="B21" s="17">
        <v>4.5999999999999996</v>
      </c>
    </row>
    <row r="22" spans="1:2" x14ac:dyDescent="0.35">
      <c r="A22" s="15" t="s">
        <v>44</v>
      </c>
      <c r="B22" s="17">
        <v>4.5999999999999996</v>
      </c>
    </row>
    <row r="23" spans="1:2" x14ac:dyDescent="0.35">
      <c r="A23" s="15" t="s">
        <v>53</v>
      </c>
      <c r="B23" s="17">
        <v>4.5</v>
      </c>
    </row>
    <row r="24" spans="1:2" x14ac:dyDescent="0.35">
      <c r="A24" s="15" t="s">
        <v>26</v>
      </c>
      <c r="B24" s="17">
        <v>4.5</v>
      </c>
    </row>
    <row r="25" spans="1:2" x14ac:dyDescent="0.35">
      <c r="A25" s="15" t="s">
        <v>57</v>
      </c>
      <c r="B25" s="17">
        <v>4.5</v>
      </c>
    </row>
    <row r="26" spans="1:2" x14ac:dyDescent="0.35">
      <c r="A26" s="15" t="s">
        <v>151</v>
      </c>
      <c r="B26" s="17">
        <v>4.5</v>
      </c>
    </row>
    <row r="27" spans="1:2" x14ac:dyDescent="0.35">
      <c r="A27" s="15" t="s">
        <v>40</v>
      </c>
      <c r="B27" s="17">
        <v>4.4000000000000004</v>
      </c>
    </row>
    <row r="28" spans="1:2" x14ac:dyDescent="0.35">
      <c r="A28" s="15" t="s">
        <v>51</v>
      </c>
      <c r="B28" s="17">
        <v>4.3</v>
      </c>
    </row>
    <row r="29" spans="1:2" x14ac:dyDescent="0.35">
      <c r="A29" s="15" t="s">
        <v>56</v>
      </c>
      <c r="B29" s="17">
        <v>4.3</v>
      </c>
    </row>
    <row r="30" spans="1:2" x14ac:dyDescent="0.35">
      <c r="A30" s="15" t="s">
        <v>42</v>
      </c>
      <c r="B30" s="17">
        <v>4.3</v>
      </c>
    </row>
    <row r="31" spans="1:2" x14ac:dyDescent="0.35">
      <c r="A31" s="15" t="s">
        <v>49</v>
      </c>
      <c r="B31" s="17">
        <v>4.3</v>
      </c>
    </row>
    <row r="32" spans="1:2" x14ac:dyDescent="0.35">
      <c r="A32" s="15" t="s">
        <v>27</v>
      </c>
      <c r="B32" s="17">
        <v>4.2</v>
      </c>
    </row>
    <row r="33" spans="1:2" x14ac:dyDescent="0.35">
      <c r="A33" s="15" t="s">
        <v>8</v>
      </c>
      <c r="B33" s="17">
        <v>4.0999999999999996</v>
      </c>
    </row>
    <row r="34" spans="1:2" x14ac:dyDescent="0.35">
      <c r="A34" s="15" t="s">
        <v>47</v>
      </c>
      <c r="B34" s="17">
        <v>4.0999999999999996</v>
      </c>
    </row>
    <row r="35" spans="1:2" x14ac:dyDescent="0.35">
      <c r="A35" s="15" t="s">
        <v>23</v>
      </c>
      <c r="B35" s="17">
        <v>4.0999999999999996</v>
      </c>
    </row>
    <row r="36" spans="1:2" x14ac:dyDescent="0.35">
      <c r="A36" s="15" t="s">
        <v>19</v>
      </c>
      <c r="B36" s="17">
        <v>4</v>
      </c>
    </row>
    <row r="37" spans="1:2" x14ac:dyDescent="0.35">
      <c r="A37" s="15" t="s">
        <v>111</v>
      </c>
      <c r="B37" s="17">
        <v>4</v>
      </c>
    </row>
    <row r="38" spans="1:2" x14ac:dyDescent="0.35">
      <c r="A38" s="15" t="s">
        <v>16</v>
      </c>
      <c r="B38" s="17">
        <v>4</v>
      </c>
    </row>
    <row r="39" spans="1:2" x14ac:dyDescent="0.35">
      <c r="A39" s="15" t="s">
        <v>39</v>
      </c>
      <c r="B39" s="17">
        <v>4</v>
      </c>
    </row>
    <row r="40" spans="1:2" x14ac:dyDescent="0.35">
      <c r="A40" s="15" t="s">
        <v>21</v>
      </c>
      <c r="B40" s="17">
        <v>3.8</v>
      </c>
    </row>
    <row r="41" spans="1:2" x14ac:dyDescent="0.35">
      <c r="A41" s="15" t="s">
        <v>45</v>
      </c>
      <c r="B41" s="17">
        <v>3.8</v>
      </c>
    </row>
    <row r="42" spans="1:2" x14ac:dyDescent="0.35">
      <c r="A42" s="15" t="s">
        <v>46</v>
      </c>
      <c r="B42" s="17">
        <v>3.8</v>
      </c>
    </row>
    <row r="43" spans="1:2" x14ac:dyDescent="0.35">
      <c r="A43" s="15" t="s">
        <v>35</v>
      </c>
      <c r="B43" s="17">
        <v>3.3</v>
      </c>
    </row>
    <row r="44" spans="1:2" x14ac:dyDescent="0.35">
      <c r="A44" s="15" t="s">
        <v>81</v>
      </c>
      <c r="B44" s="17">
        <v>3</v>
      </c>
    </row>
    <row r="45" spans="1:2" x14ac:dyDescent="0.35">
      <c r="A45" s="15" t="s">
        <v>98</v>
      </c>
      <c r="B45" s="17">
        <v>3</v>
      </c>
    </row>
    <row r="46" spans="1:2" x14ac:dyDescent="0.35">
      <c r="A46" s="15" t="s">
        <v>95</v>
      </c>
      <c r="B46" s="17">
        <v>3</v>
      </c>
    </row>
    <row r="47" spans="1:2" x14ac:dyDescent="0.35">
      <c r="A47" s="15" t="s">
        <v>107</v>
      </c>
      <c r="B47" s="17">
        <v>3</v>
      </c>
    </row>
    <row r="48" spans="1:2" x14ac:dyDescent="0.35">
      <c r="A48" s="15" t="s">
        <v>100</v>
      </c>
      <c r="B48" s="17">
        <v>3</v>
      </c>
    </row>
    <row r="49" spans="1:2" x14ac:dyDescent="0.35">
      <c r="A49" s="15" t="s">
        <v>89</v>
      </c>
      <c r="B49" s="17">
        <v>2.9</v>
      </c>
    </row>
    <row r="50" spans="1:2" x14ac:dyDescent="0.35">
      <c r="A50" s="15" t="s">
        <v>85</v>
      </c>
      <c r="B50" s="17">
        <v>2.8</v>
      </c>
    </row>
    <row r="51" spans="1:2" x14ac:dyDescent="0.35">
      <c r="A51" s="15" t="s">
        <v>87</v>
      </c>
      <c r="B51" s="17">
        <v>2.7</v>
      </c>
    </row>
    <row r="52" spans="1:2" x14ac:dyDescent="0.35">
      <c r="A52" s="15" t="s">
        <v>96</v>
      </c>
      <c r="B52" s="17">
        <v>2.6</v>
      </c>
    </row>
    <row r="53" spans="1:2" x14ac:dyDescent="0.35">
      <c r="A53" s="15" t="s">
        <v>79</v>
      </c>
      <c r="B53" s="17">
        <v>2.5</v>
      </c>
    </row>
    <row r="54" spans="1:2" x14ac:dyDescent="0.35">
      <c r="A54" s="15" t="s">
        <v>99</v>
      </c>
      <c r="B54" s="17">
        <v>2.2999999999999998</v>
      </c>
    </row>
    <row r="55" spans="1:2" x14ac:dyDescent="0.35">
      <c r="A55" s="15" t="s">
        <v>93</v>
      </c>
      <c r="B55" s="17">
        <v>2.2999999999999998</v>
      </c>
    </row>
    <row r="56" spans="1:2" x14ac:dyDescent="0.35">
      <c r="A56" s="15" t="s">
        <v>91</v>
      </c>
      <c r="B56" s="17">
        <v>2.2000000000000002</v>
      </c>
    </row>
    <row r="57" spans="1:2" x14ac:dyDescent="0.35">
      <c r="A57" s="15" t="s">
        <v>101</v>
      </c>
      <c r="B57" s="17">
        <v>2.2000000000000002</v>
      </c>
    </row>
    <row r="58" spans="1:2" x14ac:dyDescent="0.35">
      <c r="A58" s="15" t="s">
        <v>102</v>
      </c>
      <c r="B58" s="17">
        <v>2.1</v>
      </c>
    </row>
    <row r="59" spans="1:2" x14ac:dyDescent="0.35">
      <c r="A59" s="15" t="s">
        <v>83</v>
      </c>
      <c r="B59" s="17">
        <v>2.1</v>
      </c>
    </row>
    <row r="60" spans="1:2" x14ac:dyDescent="0.35">
      <c r="A60" s="15" t="s">
        <v>137</v>
      </c>
      <c r="B60" s="17">
        <v>2</v>
      </c>
    </row>
    <row r="61" spans="1:2" x14ac:dyDescent="0.35">
      <c r="A61" s="15" t="s">
        <v>71</v>
      </c>
      <c r="B61" s="17" t="e">
        <v>#DIV/0!</v>
      </c>
    </row>
    <row r="62" spans="1:2" x14ac:dyDescent="0.35">
      <c r="A62" s="15" t="s">
        <v>104</v>
      </c>
      <c r="B62" s="17" t="e">
        <v>#DIV/0!</v>
      </c>
    </row>
    <row r="63" spans="1:2" x14ac:dyDescent="0.35">
      <c r="A63" s="15" t="s">
        <v>119</v>
      </c>
      <c r="B63" s="17" t="e">
        <v>#DIV/0!</v>
      </c>
    </row>
    <row r="64" spans="1:2" x14ac:dyDescent="0.35">
      <c r="A64" s="15" t="s">
        <v>74</v>
      </c>
      <c r="B64" s="17" t="e">
        <v>#DIV/0!</v>
      </c>
    </row>
    <row r="65" spans="1:2" x14ac:dyDescent="0.35">
      <c r="A65" s="15" t="s">
        <v>77</v>
      </c>
      <c r="B65" s="17" t="e">
        <v>#DIV/0!</v>
      </c>
    </row>
    <row r="66" spans="1:2" x14ac:dyDescent="0.35">
      <c r="A66" s="15" t="s">
        <v>67</v>
      </c>
      <c r="B66" s="17" t="e">
        <v>#DIV/0!</v>
      </c>
    </row>
    <row r="67" spans="1:2" x14ac:dyDescent="0.35">
      <c r="A67" s="15" t="s">
        <v>123</v>
      </c>
      <c r="B67" s="17" t="e">
        <v>#DIV/0!</v>
      </c>
    </row>
    <row r="68" spans="1:2" x14ac:dyDescent="0.35">
      <c r="A68" s="15" t="s">
        <v>61</v>
      </c>
      <c r="B68" s="17" t="e">
        <v>#DIV/0!</v>
      </c>
    </row>
    <row r="69" spans="1:2" x14ac:dyDescent="0.35">
      <c r="A69" s="15" t="s">
        <v>135</v>
      </c>
      <c r="B69" s="17" t="e">
        <v>#DIV/0!</v>
      </c>
    </row>
    <row r="70" spans="1:2" x14ac:dyDescent="0.35">
      <c r="A70" s="15" t="s">
        <v>37</v>
      </c>
      <c r="B70" s="17" t="e">
        <v>#DIV/0!</v>
      </c>
    </row>
    <row r="71" spans="1:2" x14ac:dyDescent="0.35">
      <c r="A71" s="15" t="s">
        <v>48</v>
      </c>
      <c r="B71" s="17" t="e">
        <v>#DIV/0!</v>
      </c>
    </row>
    <row r="72" spans="1:2" x14ac:dyDescent="0.35">
      <c r="A72" s="15" t="s">
        <v>113</v>
      </c>
      <c r="B72" s="17" t="e">
        <v>#DIV/0!</v>
      </c>
    </row>
    <row r="73" spans="1:2" x14ac:dyDescent="0.35">
      <c r="A73" s="15" t="s">
        <v>114</v>
      </c>
      <c r="B73" s="17" t="e">
        <v>#DIV/0!</v>
      </c>
    </row>
    <row r="74" spans="1:2" x14ac:dyDescent="0.35">
      <c r="A74" s="15" t="s">
        <v>130</v>
      </c>
      <c r="B74" s="17" t="e">
        <v>#DIV/0!</v>
      </c>
    </row>
    <row r="75" spans="1:2" x14ac:dyDescent="0.35">
      <c r="A75" s="15" t="s">
        <v>76</v>
      </c>
      <c r="B75" s="17" t="e">
        <v>#DIV/0!</v>
      </c>
    </row>
    <row r="76" spans="1:2" x14ac:dyDescent="0.35">
      <c r="A76" s="15" t="s">
        <v>133</v>
      </c>
      <c r="B76" s="17" t="e">
        <v>#DIV/0!</v>
      </c>
    </row>
    <row r="77" spans="1:2" x14ac:dyDescent="0.35">
      <c r="A77" s="15" t="s">
        <v>118</v>
      </c>
      <c r="B77" s="17" t="e">
        <v>#DIV/0!</v>
      </c>
    </row>
    <row r="78" spans="1:2" x14ac:dyDescent="0.35">
      <c r="A78" s="15" t="s">
        <v>121</v>
      </c>
      <c r="B78" s="17" t="e">
        <v>#DIV/0!</v>
      </c>
    </row>
    <row r="79" spans="1:2" x14ac:dyDescent="0.35">
      <c r="A79" s="15" t="s">
        <v>134</v>
      </c>
      <c r="B79" s="17" t="e">
        <v>#DIV/0!</v>
      </c>
    </row>
    <row r="80" spans="1:2" x14ac:dyDescent="0.35">
      <c r="A80" s="15" t="s">
        <v>68</v>
      </c>
      <c r="B80" s="17" t="e">
        <v>#DIV/0!</v>
      </c>
    </row>
    <row r="81" spans="1:2" x14ac:dyDescent="0.35">
      <c r="A81" s="15" t="s">
        <v>117</v>
      </c>
      <c r="B81" s="17" t="e">
        <v>#DIV/0!</v>
      </c>
    </row>
    <row r="82" spans="1:2" x14ac:dyDescent="0.35">
      <c r="A82" s="15" t="s">
        <v>109</v>
      </c>
      <c r="B82" s="17" t="e">
        <v>#DIV/0!</v>
      </c>
    </row>
    <row r="83" spans="1:2" x14ac:dyDescent="0.35">
      <c r="A83" s="15" t="s">
        <v>116</v>
      </c>
      <c r="B83" s="17" t="e">
        <v>#DIV/0!</v>
      </c>
    </row>
    <row r="84" spans="1:2" x14ac:dyDescent="0.35">
      <c r="A84" s="15" t="s">
        <v>110</v>
      </c>
      <c r="B84" s="17" t="e">
        <v>#DIV/0!</v>
      </c>
    </row>
    <row r="85" spans="1:2" x14ac:dyDescent="0.35">
      <c r="A85" s="15" t="s">
        <v>73</v>
      </c>
      <c r="B85" s="17" t="e">
        <v>#DIV/0!</v>
      </c>
    </row>
    <row r="86" spans="1:2" x14ac:dyDescent="0.35">
      <c r="A86" s="15" t="s">
        <v>136</v>
      </c>
      <c r="B86" s="17" t="e">
        <v>#DIV/0!</v>
      </c>
    </row>
    <row r="87" spans="1:2" x14ac:dyDescent="0.35">
      <c r="A87" s="15" t="s">
        <v>112</v>
      </c>
      <c r="B87" s="17" t="e">
        <v>#DIV/0!</v>
      </c>
    </row>
    <row r="88" spans="1:2" x14ac:dyDescent="0.35">
      <c r="A88" s="15" t="s">
        <v>120</v>
      </c>
      <c r="B88" s="17" t="e">
        <v>#DIV/0!</v>
      </c>
    </row>
    <row r="89" spans="1:2" x14ac:dyDescent="0.35">
      <c r="A89" s="15" t="s">
        <v>103</v>
      </c>
      <c r="B89" s="17" t="e">
        <v>#DIV/0!</v>
      </c>
    </row>
    <row r="90" spans="1:2" x14ac:dyDescent="0.35">
      <c r="A90" s="15" t="s">
        <v>60</v>
      </c>
      <c r="B90" s="17" t="e">
        <v>#DIV/0!</v>
      </c>
    </row>
    <row r="91" spans="1:2" x14ac:dyDescent="0.35">
      <c r="A91" s="15" t="s">
        <v>72</v>
      </c>
      <c r="B91" s="17" t="e">
        <v>#DIV/0!</v>
      </c>
    </row>
    <row r="92" spans="1:2" x14ac:dyDescent="0.35">
      <c r="A92" s="15" t="s">
        <v>66</v>
      </c>
      <c r="B92" s="17" t="e">
        <v>#DIV/0!</v>
      </c>
    </row>
    <row r="93" spans="1:2" x14ac:dyDescent="0.35">
      <c r="A93" s="15" t="s">
        <v>126</v>
      </c>
      <c r="B93" s="17" t="e">
        <v>#DIV/0!</v>
      </c>
    </row>
    <row r="94" spans="1:2" x14ac:dyDescent="0.35">
      <c r="A94" s="15" t="s">
        <v>106</v>
      </c>
      <c r="B94" s="17" t="e">
        <v>#DIV/0!</v>
      </c>
    </row>
    <row r="95" spans="1:2" x14ac:dyDescent="0.35">
      <c r="A95" s="15" t="s">
        <v>63</v>
      </c>
      <c r="B95" s="17" t="e">
        <v>#DIV/0!</v>
      </c>
    </row>
    <row r="96" spans="1:2" x14ac:dyDescent="0.35">
      <c r="A96" s="15" t="s">
        <v>132</v>
      </c>
      <c r="B96" s="17" t="e">
        <v>#DIV/0!</v>
      </c>
    </row>
    <row r="97" spans="1:2" x14ac:dyDescent="0.35">
      <c r="A97" s="15" t="s">
        <v>78</v>
      </c>
      <c r="B97" s="17" t="e">
        <v>#DIV/0!</v>
      </c>
    </row>
    <row r="98" spans="1:2" x14ac:dyDescent="0.35">
      <c r="A98" s="15" t="s">
        <v>139</v>
      </c>
      <c r="B98" s="17" t="e">
        <v>#DIV/0!</v>
      </c>
    </row>
    <row r="99" spans="1:2" x14ac:dyDescent="0.35">
      <c r="A99" s="15" t="s">
        <v>64</v>
      </c>
      <c r="B99" s="17" t="e">
        <v>#DIV/0!</v>
      </c>
    </row>
    <row r="100" spans="1:2" x14ac:dyDescent="0.35">
      <c r="A100" s="15" t="s">
        <v>127</v>
      </c>
      <c r="B100" s="17" t="e">
        <v>#DIV/0!</v>
      </c>
    </row>
    <row r="101" spans="1:2" x14ac:dyDescent="0.35">
      <c r="A101" s="15" t="s">
        <v>75</v>
      </c>
      <c r="B101" s="17" t="e">
        <v>#DIV/0!</v>
      </c>
    </row>
    <row r="102" spans="1:2" x14ac:dyDescent="0.35">
      <c r="A102" s="15" t="s">
        <v>129</v>
      </c>
      <c r="B102" s="17" t="e">
        <v>#DIV/0!</v>
      </c>
    </row>
    <row r="103" spans="1:2" x14ac:dyDescent="0.35">
      <c r="A103" s="15" t="s">
        <v>70</v>
      </c>
      <c r="B103" s="17" t="e">
        <v>#DIV/0!</v>
      </c>
    </row>
    <row r="104" spans="1:2" x14ac:dyDescent="0.35">
      <c r="A104" s="15" t="s">
        <v>122</v>
      </c>
      <c r="B104" s="17" t="e">
        <v>#DIV/0!</v>
      </c>
    </row>
    <row r="105" spans="1:2" x14ac:dyDescent="0.35">
      <c r="A105" s="15" t="s">
        <v>124</v>
      </c>
      <c r="B105" s="17" t="e">
        <v>#DIV/0!</v>
      </c>
    </row>
    <row r="106" spans="1:2" x14ac:dyDescent="0.35">
      <c r="A106" s="15" t="s">
        <v>115</v>
      </c>
      <c r="B106" s="17" t="e">
        <v>#DIV/0!</v>
      </c>
    </row>
    <row r="107" spans="1:2" x14ac:dyDescent="0.35">
      <c r="A107" s="15" t="s">
        <v>125</v>
      </c>
      <c r="B107" s="17" t="e">
        <v>#DIV/0!</v>
      </c>
    </row>
    <row r="108" spans="1:2" x14ac:dyDescent="0.35">
      <c r="A108" s="15" t="s">
        <v>131</v>
      </c>
      <c r="B108" s="17" t="e">
        <v>#DIV/0!</v>
      </c>
    </row>
    <row r="109" spans="1:2" x14ac:dyDescent="0.35">
      <c r="A109" s="15" t="s">
        <v>62</v>
      </c>
      <c r="B109" s="17" t="e">
        <v>#DIV/0!</v>
      </c>
    </row>
    <row r="110" spans="1:2" x14ac:dyDescent="0.35">
      <c r="A110" s="15" t="s">
        <v>65</v>
      </c>
      <c r="B110" s="17" t="e">
        <v>#DIV/0!</v>
      </c>
    </row>
    <row r="111" spans="1:2" x14ac:dyDescent="0.35">
      <c r="A111" s="15" t="s">
        <v>69</v>
      </c>
      <c r="B111" s="17" t="e">
        <v>#DIV/0!</v>
      </c>
    </row>
    <row r="112" spans="1:2" x14ac:dyDescent="0.35">
      <c r="A112" s="15" t="s">
        <v>105</v>
      </c>
      <c r="B112" s="17" t="e">
        <v>#DIV/0!</v>
      </c>
    </row>
    <row r="113" spans="1:2" x14ac:dyDescent="0.35">
      <c r="A113" s="15" t="s">
        <v>158</v>
      </c>
      <c r="B113" s="17">
        <v>3.8894736842105266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E76AD-F235-44E2-A4E6-D326E0BE67BB}">
  <dimension ref="A3:B113"/>
  <sheetViews>
    <sheetView workbookViewId="0">
      <selection activeCell="B4" sqref="B4"/>
    </sheetView>
  </sheetViews>
  <sheetFormatPr defaultRowHeight="14.5" x14ac:dyDescent="0.35"/>
  <cols>
    <col min="1" max="1" width="89.1796875" bestFit="1" customWidth="1"/>
    <col min="2" max="2" width="15.54296875" bestFit="1" customWidth="1"/>
  </cols>
  <sheetData>
    <row r="3" spans="1:2" x14ac:dyDescent="0.35">
      <c r="A3" s="14" t="s">
        <v>154</v>
      </c>
      <c r="B3" t="s">
        <v>163</v>
      </c>
    </row>
    <row r="4" spans="1:2" x14ac:dyDescent="0.35">
      <c r="A4" s="15" t="s">
        <v>137</v>
      </c>
      <c r="B4" s="17">
        <v>2</v>
      </c>
    </row>
    <row r="5" spans="1:2" x14ac:dyDescent="0.35">
      <c r="A5" s="15" t="s">
        <v>102</v>
      </c>
      <c r="B5" s="17">
        <v>2.1</v>
      </c>
    </row>
    <row r="6" spans="1:2" x14ac:dyDescent="0.35">
      <c r="A6" s="15" t="s">
        <v>83</v>
      </c>
      <c r="B6" s="17">
        <v>2.1</v>
      </c>
    </row>
    <row r="7" spans="1:2" x14ac:dyDescent="0.35">
      <c r="A7" s="15" t="s">
        <v>101</v>
      </c>
      <c r="B7" s="17">
        <v>2.2000000000000002</v>
      </c>
    </row>
    <row r="8" spans="1:2" x14ac:dyDescent="0.35">
      <c r="A8" s="15" t="s">
        <v>91</v>
      </c>
      <c r="B8" s="17">
        <v>2.2000000000000002</v>
      </c>
    </row>
    <row r="9" spans="1:2" x14ac:dyDescent="0.35">
      <c r="A9" s="15" t="s">
        <v>93</v>
      </c>
      <c r="B9" s="17">
        <v>2.2999999999999998</v>
      </c>
    </row>
    <row r="10" spans="1:2" x14ac:dyDescent="0.35">
      <c r="A10" s="15" t="s">
        <v>99</v>
      </c>
      <c r="B10" s="17">
        <v>2.2999999999999998</v>
      </c>
    </row>
    <row r="11" spans="1:2" x14ac:dyDescent="0.35">
      <c r="A11" s="15" t="s">
        <v>79</v>
      </c>
      <c r="B11" s="17">
        <v>2.5</v>
      </c>
    </row>
    <row r="12" spans="1:2" x14ac:dyDescent="0.35">
      <c r="A12" s="15" t="s">
        <v>96</v>
      </c>
      <c r="B12" s="17">
        <v>2.6</v>
      </c>
    </row>
    <row r="13" spans="1:2" x14ac:dyDescent="0.35">
      <c r="A13" s="15" t="s">
        <v>87</v>
      </c>
      <c r="B13" s="17">
        <v>2.7</v>
      </c>
    </row>
    <row r="14" spans="1:2" x14ac:dyDescent="0.35">
      <c r="A14" s="15" t="s">
        <v>85</v>
      </c>
      <c r="B14" s="17">
        <v>2.8</v>
      </c>
    </row>
    <row r="15" spans="1:2" x14ac:dyDescent="0.35">
      <c r="A15" s="15" t="s">
        <v>89</v>
      </c>
      <c r="B15" s="17">
        <v>2.9</v>
      </c>
    </row>
    <row r="16" spans="1:2" x14ac:dyDescent="0.35">
      <c r="A16" s="15" t="s">
        <v>100</v>
      </c>
      <c r="B16" s="17">
        <v>3</v>
      </c>
    </row>
    <row r="17" spans="1:2" x14ac:dyDescent="0.35">
      <c r="A17" s="15" t="s">
        <v>95</v>
      </c>
      <c r="B17" s="17">
        <v>3</v>
      </c>
    </row>
    <row r="18" spans="1:2" x14ac:dyDescent="0.35">
      <c r="A18" s="15" t="s">
        <v>81</v>
      </c>
      <c r="B18" s="17">
        <v>3</v>
      </c>
    </row>
    <row r="19" spans="1:2" x14ac:dyDescent="0.35">
      <c r="A19" s="15" t="s">
        <v>107</v>
      </c>
      <c r="B19" s="17">
        <v>3</v>
      </c>
    </row>
    <row r="20" spans="1:2" x14ac:dyDescent="0.35">
      <c r="A20" s="15" t="s">
        <v>98</v>
      </c>
      <c r="B20" s="17">
        <v>3</v>
      </c>
    </row>
    <row r="21" spans="1:2" x14ac:dyDescent="0.35">
      <c r="A21" s="15" t="s">
        <v>35</v>
      </c>
      <c r="B21" s="17">
        <v>3.3</v>
      </c>
    </row>
    <row r="22" spans="1:2" x14ac:dyDescent="0.35">
      <c r="A22" s="15" t="s">
        <v>21</v>
      </c>
      <c r="B22" s="17">
        <v>3.8</v>
      </c>
    </row>
    <row r="23" spans="1:2" x14ac:dyDescent="0.35">
      <c r="A23" s="15" t="s">
        <v>46</v>
      </c>
      <c r="B23" s="17">
        <v>3.8</v>
      </c>
    </row>
    <row r="24" spans="1:2" x14ac:dyDescent="0.35">
      <c r="A24" s="15" t="s">
        <v>45</v>
      </c>
      <c r="B24" s="17">
        <v>3.8</v>
      </c>
    </row>
    <row r="25" spans="1:2" x14ac:dyDescent="0.35">
      <c r="A25" s="15" t="s">
        <v>39</v>
      </c>
      <c r="B25" s="17">
        <v>4</v>
      </c>
    </row>
    <row r="26" spans="1:2" x14ac:dyDescent="0.35">
      <c r="A26" s="15" t="s">
        <v>19</v>
      </c>
      <c r="B26" s="17">
        <v>4</v>
      </c>
    </row>
    <row r="27" spans="1:2" x14ac:dyDescent="0.35">
      <c r="A27" s="15" t="s">
        <v>16</v>
      </c>
      <c r="B27" s="17">
        <v>4</v>
      </c>
    </row>
    <row r="28" spans="1:2" x14ac:dyDescent="0.35">
      <c r="A28" s="15" t="s">
        <v>111</v>
      </c>
      <c r="B28" s="17">
        <v>4</v>
      </c>
    </row>
    <row r="29" spans="1:2" x14ac:dyDescent="0.35">
      <c r="A29" s="15" t="s">
        <v>47</v>
      </c>
      <c r="B29" s="17">
        <v>4.0999999999999996</v>
      </c>
    </row>
    <row r="30" spans="1:2" x14ac:dyDescent="0.35">
      <c r="A30" s="15" t="s">
        <v>23</v>
      </c>
      <c r="B30" s="17">
        <v>4.0999999999999996</v>
      </c>
    </row>
    <row r="31" spans="1:2" x14ac:dyDescent="0.35">
      <c r="A31" s="15" t="s">
        <v>8</v>
      </c>
      <c r="B31" s="17">
        <v>4.0999999999999996</v>
      </c>
    </row>
    <row r="32" spans="1:2" x14ac:dyDescent="0.35">
      <c r="A32" s="15" t="s">
        <v>27</v>
      </c>
      <c r="B32" s="17">
        <v>4.2</v>
      </c>
    </row>
    <row r="33" spans="1:2" x14ac:dyDescent="0.35">
      <c r="A33" s="15" t="s">
        <v>42</v>
      </c>
      <c r="B33" s="17">
        <v>4.3</v>
      </c>
    </row>
    <row r="34" spans="1:2" x14ac:dyDescent="0.35">
      <c r="A34" s="15" t="s">
        <v>51</v>
      </c>
      <c r="B34" s="17">
        <v>4.3</v>
      </c>
    </row>
    <row r="35" spans="1:2" x14ac:dyDescent="0.35">
      <c r="A35" s="15" t="s">
        <v>49</v>
      </c>
      <c r="B35" s="17">
        <v>4.3</v>
      </c>
    </row>
    <row r="36" spans="1:2" x14ac:dyDescent="0.35">
      <c r="A36" s="15" t="s">
        <v>56</v>
      </c>
      <c r="B36" s="17">
        <v>4.3</v>
      </c>
    </row>
    <row r="37" spans="1:2" x14ac:dyDescent="0.35">
      <c r="A37" s="15" t="s">
        <v>40</v>
      </c>
      <c r="B37" s="17">
        <v>4.4000000000000004</v>
      </c>
    </row>
    <row r="38" spans="1:2" x14ac:dyDescent="0.35">
      <c r="A38" s="15" t="s">
        <v>57</v>
      </c>
      <c r="B38" s="17">
        <v>4.5</v>
      </c>
    </row>
    <row r="39" spans="1:2" x14ac:dyDescent="0.35">
      <c r="A39" s="15" t="s">
        <v>26</v>
      </c>
      <c r="B39" s="17">
        <v>4.5</v>
      </c>
    </row>
    <row r="40" spans="1:2" x14ac:dyDescent="0.35">
      <c r="A40" s="15" t="s">
        <v>151</v>
      </c>
      <c r="B40" s="17">
        <v>4.5</v>
      </c>
    </row>
    <row r="41" spans="1:2" x14ac:dyDescent="0.35">
      <c r="A41" s="15" t="s">
        <v>53</v>
      </c>
      <c r="B41" s="17">
        <v>4.5</v>
      </c>
    </row>
    <row r="42" spans="1:2" x14ac:dyDescent="0.35">
      <c r="A42" s="15" t="s">
        <v>44</v>
      </c>
      <c r="B42" s="17">
        <v>4.5999999999999996</v>
      </c>
    </row>
    <row r="43" spans="1:2" x14ac:dyDescent="0.35">
      <c r="A43" s="15" t="s">
        <v>34</v>
      </c>
      <c r="B43" s="17">
        <v>4.5999999999999996</v>
      </c>
    </row>
    <row r="44" spans="1:2" x14ac:dyDescent="0.35">
      <c r="A44" s="15" t="s">
        <v>33</v>
      </c>
      <c r="B44" s="17">
        <v>4.5999999999999996</v>
      </c>
    </row>
    <row r="45" spans="1:2" x14ac:dyDescent="0.35">
      <c r="A45" s="15" t="s">
        <v>10</v>
      </c>
      <c r="B45" s="17">
        <v>4.5999999999999996</v>
      </c>
    </row>
    <row r="46" spans="1:2" x14ac:dyDescent="0.35">
      <c r="A46" s="15" t="s">
        <v>18</v>
      </c>
      <c r="B46" s="17">
        <v>4.5999999999999996</v>
      </c>
    </row>
    <row r="47" spans="1:2" x14ac:dyDescent="0.35">
      <c r="A47" s="15" t="s">
        <v>52</v>
      </c>
      <c r="B47" s="17">
        <v>4.7</v>
      </c>
    </row>
    <row r="48" spans="1:2" x14ac:dyDescent="0.35">
      <c r="A48" s="15" t="s">
        <v>50</v>
      </c>
      <c r="B48" s="17">
        <v>4.7</v>
      </c>
    </row>
    <row r="49" spans="1:2" x14ac:dyDescent="0.35">
      <c r="A49" s="15" t="s">
        <v>12</v>
      </c>
      <c r="B49" s="17">
        <v>4.7</v>
      </c>
    </row>
    <row r="50" spans="1:2" x14ac:dyDescent="0.35">
      <c r="A50" s="15" t="s">
        <v>24</v>
      </c>
      <c r="B50" s="17">
        <v>4.7</v>
      </c>
    </row>
    <row r="51" spans="1:2" x14ac:dyDescent="0.35">
      <c r="A51" s="15" t="s">
        <v>20</v>
      </c>
      <c r="B51" s="17">
        <v>4.8</v>
      </c>
    </row>
    <row r="52" spans="1:2" x14ac:dyDescent="0.35">
      <c r="A52" s="15" t="s">
        <v>25</v>
      </c>
      <c r="B52" s="17">
        <v>4.8</v>
      </c>
    </row>
    <row r="53" spans="1:2" x14ac:dyDescent="0.35">
      <c r="A53" s="15" t="s">
        <v>14</v>
      </c>
      <c r="B53" s="17">
        <v>4.8</v>
      </c>
    </row>
    <row r="54" spans="1:2" x14ac:dyDescent="0.35">
      <c r="A54" s="15" t="s">
        <v>31</v>
      </c>
      <c r="B54" s="17">
        <v>5</v>
      </c>
    </row>
    <row r="55" spans="1:2" x14ac:dyDescent="0.35">
      <c r="A55" s="15" t="s">
        <v>54</v>
      </c>
      <c r="B55" s="17">
        <v>5</v>
      </c>
    </row>
    <row r="56" spans="1:2" x14ac:dyDescent="0.35">
      <c r="A56" s="15" t="s">
        <v>55</v>
      </c>
      <c r="B56" s="17">
        <v>5</v>
      </c>
    </row>
    <row r="57" spans="1:2" x14ac:dyDescent="0.35">
      <c r="A57" s="15" t="s">
        <v>29</v>
      </c>
      <c r="B57" s="17">
        <v>5</v>
      </c>
    </row>
    <row r="58" spans="1:2" x14ac:dyDescent="0.35">
      <c r="A58" s="15" t="s">
        <v>32</v>
      </c>
      <c r="B58" s="17">
        <v>5</v>
      </c>
    </row>
    <row r="59" spans="1:2" x14ac:dyDescent="0.35">
      <c r="A59" s="15" t="s">
        <v>128</v>
      </c>
      <c r="B59" s="17">
        <v>5</v>
      </c>
    </row>
    <row r="60" spans="1:2" x14ac:dyDescent="0.35">
      <c r="A60" s="15" t="s">
        <v>108</v>
      </c>
      <c r="B60" s="17">
        <v>5</v>
      </c>
    </row>
    <row r="61" spans="1:2" x14ac:dyDescent="0.35">
      <c r="A61" s="15" t="s">
        <v>105</v>
      </c>
      <c r="B61" s="17" t="e">
        <v>#DIV/0!</v>
      </c>
    </row>
    <row r="62" spans="1:2" x14ac:dyDescent="0.35">
      <c r="A62" s="15" t="s">
        <v>73</v>
      </c>
      <c r="B62" s="17" t="e">
        <v>#DIV/0!</v>
      </c>
    </row>
    <row r="63" spans="1:2" x14ac:dyDescent="0.35">
      <c r="A63" s="15" t="s">
        <v>110</v>
      </c>
      <c r="B63" s="17" t="e">
        <v>#DIV/0!</v>
      </c>
    </row>
    <row r="64" spans="1:2" x14ac:dyDescent="0.35">
      <c r="A64" s="15" t="s">
        <v>67</v>
      </c>
      <c r="B64" s="17" t="e">
        <v>#DIV/0!</v>
      </c>
    </row>
    <row r="65" spans="1:2" x14ac:dyDescent="0.35">
      <c r="A65" s="15" t="s">
        <v>78</v>
      </c>
      <c r="B65" s="17" t="e">
        <v>#DIV/0!</v>
      </c>
    </row>
    <row r="66" spans="1:2" x14ac:dyDescent="0.35">
      <c r="A66" s="15" t="s">
        <v>112</v>
      </c>
      <c r="B66" s="17" t="e">
        <v>#DIV/0!</v>
      </c>
    </row>
    <row r="67" spans="1:2" x14ac:dyDescent="0.35">
      <c r="A67" s="15" t="s">
        <v>120</v>
      </c>
      <c r="B67" s="17" t="e">
        <v>#DIV/0!</v>
      </c>
    </row>
    <row r="68" spans="1:2" x14ac:dyDescent="0.35">
      <c r="A68" s="15" t="s">
        <v>114</v>
      </c>
      <c r="B68" s="17" t="e">
        <v>#DIV/0!</v>
      </c>
    </row>
    <row r="69" spans="1:2" x14ac:dyDescent="0.35">
      <c r="A69" s="15" t="s">
        <v>106</v>
      </c>
      <c r="B69" s="17" t="e">
        <v>#DIV/0!</v>
      </c>
    </row>
    <row r="70" spans="1:2" x14ac:dyDescent="0.35">
      <c r="A70" s="15" t="s">
        <v>113</v>
      </c>
      <c r="B70" s="17" t="e">
        <v>#DIV/0!</v>
      </c>
    </row>
    <row r="71" spans="1:2" x14ac:dyDescent="0.35">
      <c r="A71" s="15" t="s">
        <v>127</v>
      </c>
      <c r="B71" s="17" t="e">
        <v>#DIV/0!</v>
      </c>
    </row>
    <row r="72" spans="1:2" x14ac:dyDescent="0.35">
      <c r="A72" s="15" t="s">
        <v>71</v>
      </c>
      <c r="B72" s="17" t="e">
        <v>#DIV/0!</v>
      </c>
    </row>
    <row r="73" spans="1:2" x14ac:dyDescent="0.35">
      <c r="A73" s="15" t="s">
        <v>130</v>
      </c>
      <c r="B73" s="17" t="e">
        <v>#DIV/0!</v>
      </c>
    </row>
    <row r="74" spans="1:2" x14ac:dyDescent="0.35">
      <c r="A74" s="15" t="s">
        <v>72</v>
      </c>
      <c r="B74" s="17" t="e">
        <v>#DIV/0!</v>
      </c>
    </row>
    <row r="75" spans="1:2" x14ac:dyDescent="0.35">
      <c r="A75" s="15" t="s">
        <v>124</v>
      </c>
      <c r="B75" s="17" t="e">
        <v>#DIV/0!</v>
      </c>
    </row>
    <row r="76" spans="1:2" x14ac:dyDescent="0.35">
      <c r="A76" s="15" t="s">
        <v>133</v>
      </c>
      <c r="B76" s="17" t="e">
        <v>#DIV/0!</v>
      </c>
    </row>
    <row r="77" spans="1:2" x14ac:dyDescent="0.35">
      <c r="A77" s="15" t="s">
        <v>121</v>
      </c>
      <c r="B77" s="17" t="e">
        <v>#DIV/0!</v>
      </c>
    </row>
    <row r="78" spans="1:2" x14ac:dyDescent="0.35">
      <c r="A78" s="15" t="s">
        <v>65</v>
      </c>
      <c r="B78" s="17" t="e">
        <v>#DIV/0!</v>
      </c>
    </row>
    <row r="79" spans="1:2" x14ac:dyDescent="0.35">
      <c r="A79" s="15" t="s">
        <v>132</v>
      </c>
      <c r="B79" s="17" t="e">
        <v>#DIV/0!</v>
      </c>
    </row>
    <row r="80" spans="1:2" x14ac:dyDescent="0.35">
      <c r="A80" s="15" t="s">
        <v>123</v>
      </c>
      <c r="B80" s="17" t="e">
        <v>#DIV/0!</v>
      </c>
    </row>
    <row r="81" spans="1:2" x14ac:dyDescent="0.35">
      <c r="A81" s="15" t="s">
        <v>61</v>
      </c>
      <c r="B81" s="17" t="e">
        <v>#DIV/0!</v>
      </c>
    </row>
    <row r="82" spans="1:2" x14ac:dyDescent="0.35">
      <c r="A82" s="15" t="s">
        <v>76</v>
      </c>
      <c r="B82" s="17" t="e">
        <v>#DIV/0!</v>
      </c>
    </row>
    <row r="83" spans="1:2" x14ac:dyDescent="0.35">
      <c r="A83" s="15" t="s">
        <v>125</v>
      </c>
      <c r="B83" s="17" t="e">
        <v>#DIV/0!</v>
      </c>
    </row>
    <row r="84" spans="1:2" x14ac:dyDescent="0.35">
      <c r="A84" s="15" t="s">
        <v>118</v>
      </c>
      <c r="B84" s="17" t="e">
        <v>#DIV/0!</v>
      </c>
    </row>
    <row r="85" spans="1:2" x14ac:dyDescent="0.35">
      <c r="A85" s="15" t="s">
        <v>70</v>
      </c>
      <c r="B85" s="17" t="e">
        <v>#DIV/0!</v>
      </c>
    </row>
    <row r="86" spans="1:2" x14ac:dyDescent="0.35">
      <c r="A86" s="15" t="s">
        <v>37</v>
      </c>
      <c r="B86" s="17" t="e">
        <v>#DIV/0!</v>
      </c>
    </row>
    <row r="87" spans="1:2" x14ac:dyDescent="0.35">
      <c r="A87" s="15" t="s">
        <v>48</v>
      </c>
      <c r="B87" s="17" t="e">
        <v>#DIV/0!</v>
      </c>
    </row>
    <row r="88" spans="1:2" x14ac:dyDescent="0.35">
      <c r="A88" s="15" t="s">
        <v>119</v>
      </c>
      <c r="B88" s="17" t="e">
        <v>#DIV/0!</v>
      </c>
    </row>
    <row r="89" spans="1:2" x14ac:dyDescent="0.35">
      <c r="A89" s="15" t="s">
        <v>136</v>
      </c>
      <c r="B89" s="17" t="e">
        <v>#DIV/0!</v>
      </c>
    </row>
    <row r="90" spans="1:2" x14ac:dyDescent="0.35">
      <c r="A90" s="15" t="s">
        <v>64</v>
      </c>
      <c r="B90" s="17" t="e">
        <v>#DIV/0!</v>
      </c>
    </row>
    <row r="91" spans="1:2" x14ac:dyDescent="0.35">
      <c r="A91" s="15" t="s">
        <v>104</v>
      </c>
      <c r="B91" s="17" t="e">
        <v>#DIV/0!</v>
      </c>
    </row>
    <row r="92" spans="1:2" x14ac:dyDescent="0.35">
      <c r="A92" s="15" t="s">
        <v>134</v>
      </c>
      <c r="B92" s="17" t="e">
        <v>#DIV/0!</v>
      </c>
    </row>
    <row r="93" spans="1:2" x14ac:dyDescent="0.35">
      <c r="A93" s="15" t="s">
        <v>77</v>
      </c>
      <c r="B93" s="17" t="e">
        <v>#DIV/0!</v>
      </c>
    </row>
    <row r="94" spans="1:2" x14ac:dyDescent="0.35">
      <c r="A94" s="15" t="s">
        <v>75</v>
      </c>
      <c r="B94" s="17" t="e">
        <v>#DIV/0!</v>
      </c>
    </row>
    <row r="95" spans="1:2" x14ac:dyDescent="0.35">
      <c r="A95" s="15" t="s">
        <v>126</v>
      </c>
      <c r="B95" s="17" t="e">
        <v>#DIV/0!</v>
      </c>
    </row>
    <row r="96" spans="1:2" x14ac:dyDescent="0.35">
      <c r="A96" s="15" t="s">
        <v>135</v>
      </c>
      <c r="B96" s="17" t="e">
        <v>#DIV/0!</v>
      </c>
    </row>
    <row r="97" spans="1:2" x14ac:dyDescent="0.35">
      <c r="A97" s="15" t="s">
        <v>139</v>
      </c>
      <c r="B97" s="17" t="e">
        <v>#DIV/0!</v>
      </c>
    </row>
    <row r="98" spans="1:2" x14ac:dyDescent="0.35">
      <c r="A98" s="15" t="s">
        <v>69</v>
      </c>
      <c r="B98" s="17" t="e">
        <v>#DIV/0!</v>
      </c>
    </row>
    <row r="99" spans="1:2" x14ac:dyDescent="0.35">
      <c r="A99" s="15" t="s">
        <v>116</v>
      </c>
      <c r="B99" s="17" t="e">
        <v>#DIV/0!</v>
      </c>
    </row>
    <row r="100" spans="1:2" x14ac:dyDescent="0.35">
      <c r="A100" s="15" t="s">
        <v>117</v>
      </c>
      <c r="B100" s="17" t="e">
        <v>#DIV/0!</v>
      </c>
    </row>
    <row r="101" spans="1:2" x14ac:dyDescent="0.35">
      <c r="A101" s="15" t="s">
        <v>66</v>
      </c>
      <c r="B101" s="17" t="e">
        <v>#DIV/0!</v>
      </c>
    </row>
    <row r="102" spans="1:2" x14ac:dyDescent="0.35">
      <c r="A102" s="15" t="s">
        <v>122</v>
      </c>
      <c r="B102" s="17" t="e">
        <v>#DIV/0!</v>
      </c>
    </row>
    <row r="103" spans="1:2" x14ac:dyDescent="0.35">
      <c r="A103" s="15" t="s">
        <v>60</v>
      </c>
      <c r="B103" s="17" t="e">
        <v>#DIV/0!</v>
      </c>
    </row>
    <row r="104" spans="1:2" x14ac:dyDescent="0.35">
      <c r="A104" s="15" t="s">
        <v>68</v>
      </c>
      <c r="B104" s="17" t="e">
        <v>#DIV/0!</v>
      </c>
    </row>
    <row r="105" spans="1:2" x14ac:dyDescent="0.35">
      <c r="A105" s="15" t="s">
        <v>62</v>
      </c>
      <c r="B105" s="17" t="e">
        <v>#DIV/0!</v>
      </c>
    </row>
    <row r="106" spans="1:2" x14ac:dyDescent="0.35">
      <c r="A106" s="15" t="s">
        <v>115</v>
      </c>
      <c r="B106" s="17" t="e">
        <v>#DIV/0!</v>
      </c>
    </row>
    <row r="107" spans="1:2" x14ac:dyDescent="0.35">
      <c r="A107" s="15" t="s">
        <v>129</v>
      </c>
      <c r="B107" s="17" t="e">
        <v>#DIV/0!</v>
      </c>
    </row>
    <row r="108" spans="1:2" x14ac:dyDescent="0.35">
      <c r="A108" s="15" t="s">
        <v>74</v>
      </c>
      <c r="B108" s="17" t="e">
        <v>#DIV/0!</v>
      </c>
    </row>
    <row r="109" spans="1:2" x14ac:dyDescent="0.35">
      <c r="A109" s="15" t="s">
        <v>109</v>
      </c>
      <c r="B109" s="17" t="e">
        <v>#DIV/0!</v>
      </c>
    </row>
    <row r="110" spans="1:2" x14ac:dyDescent="0.35">
      <c r="A110" s="15" t="s">
        <v>103</v>
      </c>
      <c r="B110" s="17" t="e">
        <v>#DIV/0!</v>
      </c>
    </row>
    <row r="111" spans="1:2" x14ac:dyDescent="0.35">
      <c r="A111" s="15" t="s">
        <v>63</v>
      </c>
      <c r="B111" s="17" t="e">
        <v>#DIV/0!</v>
      </c>
    </row>
    <row r="112" spans="1:2" x14ac:dyDescent="0.35">
      <c r="A112" s="15" t="s">
        <v>131</v>
      </c>
      <c r="B112" s="17" t="e">
        <v>#DIV/0!</v>
      </c>
    </row>
    <row r="113" spans="1:2" x14ac:dyDescent="0.35">
      <c r="A113" s="15" t="s">
        <v>158</v>
      </c>
      <c r="B113" s="17">
        <v>3.8894736842105266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3F957-CA19-439B-9AD3-08AE0F227DC5}">
  <dimension ref="A3:B7"/>
  <sheetViews>
    <sheetView workbookViewId="0">
      <selection activeCell="A3" sqref="A3"/>
    </sheetView>
  </sheetViews>
  <sheetFormatPr defaultRowHeight="14.5" x14ac:dyDescent="0.35"/>
  <cols>
    <col min="1" max="1" width="12.36328125" bestFit="1" customWidth="1"/>
    <col min="2" max="2" width="15.26953125" bestFit="1" customWidth="1"/>
  </cols>
  <sheetData>
    <row r="3" spans="1:2" x14ac:dyDescent="0.35">
      <c r="A3" s="14" t="s">
        <v>154</v>
      </c>
      <c r="B3" t="s">
        <v>172</v>
      </c>
    </row>
    <row r="4" spans="1:2" x14ac:dyDescent="0.35">
      <c r="A4" s="15" t="s">
        <v>164</v>
      </c>
      <c r="B4" s="17">
        <v>3</v>
      </c>
    </row>
    <row r="5" spans="1:2" x14ac:dyDescent="0.35">
      <c r="A5" s="15" t="s">
        <v>165</v>
      </c>
      <c r="B5" s="17">
        <v>95</v>
      </c>
    </row>
    <row r="6" spans="1:2" x14ac:dyDescent="0.35">
      <c r="A6" s="15" t="s">
        <v>166</v>
      </c>
      <c r="B6" s="17">
        <v>14</v>
      </c>
    </row>
    <row r="7" spans="1:2" x14ac:dyDescent="0.35">
      <c r="A7" s="15" t="s">
        <v>158</v>
      </c>
      <c r="B7" s="17">
        <v>112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DB1D7-5CED-4F77-B7C1-85F2C4BD85E4}">
  <dimension ref="A3:B8"/>
  <sheetViews>
    <sheetView topLeftCell="A7" workbookViewId="0">
      <selection activeCell="F7" sqref="F7"/>
    </sheetView>
  </sheetViews>
  <sheetFormatPr defaultRowHeight="14.5" x14ac:dyDescent="0.35"/>
  <cols>
    <col min="1" max="1" width="12.36328125" bestFit="1" customWidth="1"/>
    <col min="2" max="2" width="15.26953125" bestFit="1" customWidth="1"/>
  </cols>
  <sheetData>
    <row r="3" spans="1:2" x14ac:dyDescent="0.35">
      <c r="A3" s="14" t="s">
        <v>154</v>
      </c>
      <c r="B3" t="s">
        <v>172</v>
      </c>
    </row>
    <row r="4" spans="1:2" x14ac:dyDescent="0.35">
      <c r="A4" s="15" t="s">
        <v>160</v>
      </c>
      <c r="B4" s="17">
        <v>26</v>
      </c>
    </row>
    <row r="5" spans="1:2" x14ac:dyDescent="0.35">
      <c r="A5" s="15" t="s">
        <v>161</v>
      </c>
      <c r="B5" s="17">
        <v>19</v>
      </c>
    </row>
    <row r="6" spans="1:2" x14ac:dyDescent="0.35">
      <c r="A6" s="15" t="s">
        <v>162</v>
      </c>
      <c r="B6" s="17">
        <v>12</v>
      </c>
    </row>
    <row r="7" spans="1:2" x14ac:dyDescent="0.35">
      <c r="A7" s="15" t="s">
        <v>38</v>
      </c>
      <c r="B7" s="17">
        <v>55</v>
      </c>
    </row>
    <row r="8" spans="1:2" x14ac:dyDescent="0.35">
      <c r="A8" s="15" t="s">
        <v>158</v>
      </c>
      <c r="B8" s="17">
        <v>112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06328-CAA8-4BA1-90A8-A0B01C4E08FC}">
  <dimension ref="A3:B7"/>
  <sheetViews>
    <sheetView workbookViewId="0">
      <selection activeCell="H29" sqref="H29"/>
    </sheetView>
  </sheetViews>
  <sheetFormatPr defaultRowHeight="14.5" x14ac:dyDescent="0.35"/>
  <cols>
    <col min="1" max="1" width="15.6328125" bestFit="1" customWidth="1"/>
    <col min="2" max="2" width="15.26953125" bestFit="1" customWidth="1"/>
  </cols>
  <sheetData>
    <row r="3" spans="1:2" x14ac:dyDescent="0.35">
      <c r="A3" s="14" t="s">
        <v>154</v>
      </c>
      <c r="B3" t="s">
        <v>172</v>
      </c>
    </row>
    <row r="4" spans="1:2" x14ac:dyDescent="0.35">
      <c r="A4" s="15" t="s">
        <v>155</v>
      </c>
      <c r="B4" s="17">
        <v>62</v>
      </c>
    </row>
    <row r="5" spans="1:2" x14ac:dyDescent="0.35">
      <c r="A5" s="15" t="s">
        <v>156</v>
      </c>
      <c r="B5" s="17">
        <v>18</v>
      </c>
    </row>
    <row r="6" spans="1:2" x14ac:dyDescent="0.35">
      <c r="A6" s="15" t="s">
        <v>157</v>
      </c>
      <c r="B6" s="17">
        <v>32</v>
      </c>
    </row>
    <row r="7" spans="1:2" x14ac:dyDescent="0.35">
      <c r="A7" s="15" t="s">
        <v>158</v>
      </c>
      <c r="B7" s="17">
        <v>112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97995-60F2-4DF9-B2C4-568C970A51D4}">
  <dimension ref="A1:J129"/>
  <sheetViews>
    <sheetView topLeftCell="B1" workbookViewId="0">
      <selection activeCell="B18" sqref="B18"/>
    </sheetView>
  </sheetViews>
  <sheetFormatPr defaultRowHeight="14.5" x14ac:dyDescent="0.35"/>
  <cols>
    <col min="1" max="1" width="89.1796875" bestFit="1" customWidth="1"/>
    <col min="2" max="2" width="12.90625" style="2" bestFit="1" customWidth="1"/>
    <col min="3" max="3" width="9" style="2" bestFit="1" customWidth="1"/>
    <col min="4" max="4" width="14" style="2" bestFit="1" customWidth="1"/>
    <col min="5" max="5" width="16.81640625" style="2" bestFit="1" customWidth="1"/>
    <col min="6" max="6" width="8.81640625" bestFit="1" customWidth="1"/>
    <col min="7" max="7" width="17.54296875" bestFit="1" customWidth="1"/>
    <col min="8" max="8" width="7.453125" bestFit="1" customWidth="1"/>
    <col min="9" max="9" width="6.6328125" bestFit="1" customWidth="1"/>
    <col min="10" max="10" width="15.26953125" bestFit="1" customWidth="1"/>
  </cols>
  <sheetData>
    <row r="1" spans="1:10" s="5" customFormat="1" ht="15.5" x14ac:dyDescent="0.35">
      <c r="A1" s="5" t="s">
        <v>0</v>
      </c>
      <c r="B1" s="6" t="s">
        <v>1</v>
      </c>
      <c r="C1" s="6" t="s">
        <v>2</v>
      </c>
      <c r="D1" s="6" t="s">
        <v>140</v>
      </c>
      <c r="E1" s="6" t="s">
        <v>142</v>
      </c>
      <c r="F1" s="5" t="s">
        <v>3</v>
      </c>
      <c r="G1" s="6" t="s">
        <v>141</v>
      </c>
      <c r="H1" s="5" t="s">
        <v>4</v>
      </c>
      <c r="I1" s="5" t="s">
        <v>5</v>
      </c>
      <c r="J1" s="5" t="s">
        <v>143</v>
      </c>
    </row>
    <row r="2" spans="1:10" x14ac:dyDescent="0.35">
      <c r="A2" t="s">
        <v>151</v>
      </c>
      <c r="B2" s="3">
        <v>950</v>
      </c>
      <c r="C2" s="3">
        <v>1525</v>
      </c>
      <c r="D2" s="2" t="str">
        <f>IF(B2&gt;3000,"High Price",IF(B2&gt;=2000,"Medium Price","Low Price"))</f>
        <v>Low Price</v>
      </c>
      <c r="E2" s="2">
        <f>C2-B2</f>
        <v>575</v>
      </c>
      <c r="F2" s="1">
        <v>0.38</v>
      </c>
      <c r="G2" s="1" t="str">
        <f>IF(F2&lt;20%,"Low Discount",IF(F2&lt;=40%,"Medium Discount","High Discount"))</f>
        <v>Medium Discount</v>
      </c>
      <c r="H2">
        <v>2</v>
      </c>
      <c r="I2">
        <v>4.5</v>
      </c>
      <c r="J2" t="str">
        <f>IF(I2="Unknown","Unknown",IF(I2&lt;3,"Poor",IF(I2&lt;=4.5,"Average","Excellent")))</f>
        <v>Average</v>
      </c>
    </row>
    <row r="3" spans="1:10" x14ac:dyDescent="0.35">
      <c r="A3" t="s">
        <v>8</v>
      </c>
      <c r="B3" s="3">
        <v>527</v>
      </c>
      <c r="C3" s="3">
        <v>999</v>
      </c>
      <c r="D3" s="2" t="str">
        <f t="shared" ref="D3:D66" si="0">IF(B3&gt;3000,"High Price",IF(B3&gt;=2000,"Medium Price","Low Price"))</f>
        <v>Low Price</v>
      </c>
      <c r="E3" s="2">
        <f t="shared" ref="E3:E66" si="1">C3-B3</f>
        <v>472</v>
      </c>
      <c r="F3" s="1">
        <v>0.47</v>
      </c>
      <c r="G3" s="1" t="str">
        <f t="shared" ref="G3:G66" si="2">IF(F3&lt;20%,"Low Discount",IF(F3&lt;=40%,"Medium Discount","High Discount"))</f>
        <v>High Discount</v>
      </c>
      <c r="H3">
        <v>14</v>
      </c>
      <c r="I3">
        <v>4.0999999999999996</v>
      </c>
      <c r="J3" t="str">
        <f t="shared" ref="J3:J66" si="3">IF(I3="Unknown","Unknown",IF(I3&lt;3,"Poor",IF(I3&lt;=4.5,"Average","Excellent")))</f>
        <v>Average</v>
      </c>
    </row>
    <row r="4" spans="1:10" x14ac:dyDescent="0.35">
      <c r="A4" t="s">
        <v>10</v>
      </c>
      <c r="B4" s="3">
        <v>2199</v>
      </c>
      <c r="C4" s="3">
        <v>2923</v>
      </c>
      <c r="D4" s="2" t="str">
        <f t="shared" si="0"/>
        <v>Medium Price</v>
      </c>
      <c r="E4" s="2">
        <f t="shared" si="1"/>
        <v>724</v>
      </c>
      <c r="F4" s="1">
        <v>0.25</v>
      </c>
      <c r="G4" s="1" t="str">
        <f t="shared" si="2"/>
        <v>Medium Discount</v>
      </c>
      <c r="H4">
        <v>24</v>
      </c>
      <c r="I4">
        <v>4.5999999999999996</v>
      </c>
      <c r="J4" t="str">
        <f t="shared" si="3"/>
        <v>Excellent</v>
      </c>
    </row>
    <row r="5" spans="1:10" x14ac:dyDescent="0.35">
      <c r="A5" t="s">
        <v>12</v>
      </c>
      <c r="B5" s="3">
        <v>1580</v>
      </c>
      <c r="C5" s="3">
        <v>2499</v>
      </c>
      <c r="D5" s="2" t="str">
        <f t="shared" si="0"/>
        <v>Low Price</v>
      </c>
      <c r="E5" s="2">
        <f t="shared" si="1"/>
        <v>919</v>
      </c>
      <c r="F5" s="1">
        <v>0.37</v>
      </c>
      <c r="G5" s="1" t="str">
        <f t="shared" si="2"/>
        <v>Medium Discount</v>
      </c>
      <c r="H5">
        <v>7</v>
      </c>
      <c r="I5">
        <v>4.7</v>
      </c>
      <c r="J5" t="str">
        <f t="shared" si="3"/>
        <v>Excellent</v>
      </c>
    </row>
    <row r="6" spans="1:10" x14ac:dyDescent="0.35">
      <c r="A6" t="s">
        <v>14</v>
      </c>
      <c r="B6" s="3">
        <v>1740</v>
      </c>
      <c r="C6" s="3">
        <v>2356</v>
      </c>
      <c r="D6" s="2" t="str">
        <f t="shared" si="0"/>
        <v>Low Price</v>
      </c>
      <c r="E6" s="2">
        <f t="shared" si="1"/>
        <v>616</v>
      </c>
      <c r="F6" s="1">
        <v>0.26</v>
      </c>
      <c r="G6" s="1" t="str">
        <f t="shared" si="2"/>
        <v>Medium Discount</v>
      </c>
      <c r="H6">
        <v>5</v>
      </c>
      <c r="I6">
        <v>4.8</v>
      </c>
      <c r="J6" t="str">
        <f t="shared" si="3"/>
        <v>Excellent</v>
      </c>
    </row>
    <row r="7" spans="1:10" x14ac:dyDescent="0.35">
      <c r="A7" t="s">
        <v>16</v>
      </c>
      <c r="B7" s="3">
        <v>2999</v>
      </c>
      <c r="C7" s="3">
        <v>3290</v>
      </c>
      <c r="D7" s="2" t="str">
        <f t="shared" si="0"/>
        <v>Medium Price</v>
      </c>
      <c r="E7" s="2">
        <f t="shared" si="1"/>
        <v>291</v>
      </c>
      <c r="F7" s="1">
        <v>0.09</v>
      </c>
      <c r="G7" s="1" t="str">
        <f t="shared" si="2"/>
        <v>Low Discount</v>
      </c>
      <c r="H7">
        <v>15</v>
      </c>
      <c r="I7">
        <v>4</v>
      </c>
      <c r="J7" t="str">
        <f t="shared" si="3"/>
        <v>Average</v>
      </c>
    </row>
    <row r="8" spans="1:10" x14ac:dyDescent="0.35">
      <c r="A8" t="s">
        <v>18</v>
      </c>
      <c r="B8" s="3">
        <v>2319</v>
      </c>
      <c r="C8" s="3">
        <v>3032</v>
      </c>
      <c r="D8" s="2" t="str">
        <f t="shared" si="0"/>
        <v>Medium Price</v>
      </c>
      <c r="E8" s="2">
        <f t="shared" si="1"/>
        <v>713</v>
      </c>
      <c r="F8" s="1">
        <v>0.24</v>
      </c>
      <c r="G8" s="1" t="str">
        <f t="shared" si="2"/>
        <v>Medium Discount</v>
      </c>
      <c r="H8">
        <v>55</v>
      </c>
      <c r="I8">
        <v>4.5999999999999996</v>
      </c>
      <c r="J8" t="str">
        <f t="shared" si="3"/>
        <v>Excellent</v>
      </c>
    </row>
    <row r="9" spans="1:10" x14ac:dyDescent="0.35">
      <c r="A9" t="s">
        <v>19</v>
      </c>
      <c r="B9" s="3">
        <v>988</v>
      </c>
      <c r="C9" s="3">
        <v>1580</v>
      </c>
      <c r="D9" s="2" t="str">
        <f t="shared" si="0"/>
        <v>Low Price</v>
      </c>
      <c r="E9" s="2">
        <f t="shared" si="1"/>
        <v>592</v>
      </c>
      <c r="F9" s="1">
        <v>0.37</v>
      </c>
      <c r="G9" s="1" t="str">
        <f t="shared" si="2"/>
        <v>Medium Discount</v>
      </c>
      <c r="H9">
        <v>2</v>
      </c>
      <c r="I9">
        <v>4</v>
      </c>
      <c r="J9" t="str">
        <f t="shared" si="3"/>
        <v>Average</v>
      </c>
    </row>
    <row r="10" spans="1:10" x14ac:dyDescent="0.35">
      <c r="A10" t="s">
        <v>20</v>
      </c>
      <c r="B10" s="3">
        <v>1274</v>
      </c>
      <c r="C10" s="3">
        <v>2800</v>
      </c>
      <c r="D10" s="2" t="str">
        <f t="shared" si="0"/>
        <v>Low Price</v>
      </c>
      <c r="E10" s="2">
        <f t="shared" si="1"/>
        <v>1526</v>
      </c>
      <c r="F10" s="1">
        <v>0.55000000000000004</v>
      </c>
      <c r="G10" s="1" t="str">
        <f t="shared" si="2"/>
        <v>High Discount</v>
      </c>
      <c r="H10">
        <v>5</v>
      </c>
      <c r="I10">
        <v>4.8</v>
      </c>
      <c r="J10" t="str">
        <f t="shared" si="3"/>
        <v>Excellent</v>
      </c>
    </row>
    <row r="11" spans="1:10" x14ac:dyDescent="0.35">
      <c r="A11" t="s">
        <v>21</v>
      </c>
      <c r="B11" s="3">
        <v>1600</v>
      </c>
      <c r="C11" s="3">
        <v>2929</v>
      </c>
      <c r="D11" s="2" t="str">
        <f t="shared" si="0"/>
        <v>Low Price</v>
      </c>
      <c r="E11" s="2">
        <f t="shared" si="1"/>
        <v>1329</v>
      </c>
      <c r="F11" s="1">
        <v>0.45</v>
      </c>
      <c r="G11" s="1" t="str">
        <f t="shared" si="2"/>
        <v>High Discount</v>
      </c>
      <c r="H11">
        <v>5</v>
      </c>
      <c r="I11">
        <v>3.8</v>
      </c>
      <c r="J11" t="str">
        <f t="shared" si="3"/>
        <v>Average</v>
      </c>
    </row>
    <row r="12" spans="1:10" x14ac:dyDescent="0.35">
      <c r="A12" t="s">
        <v>23</v>
      </c>
      <c r="B12" s="3">
        <v>799</v>
      </c>
      <c r="C12" s="3">
        <v>999</v>
      </c>
      <c r="D12" s="2" t="str">
        <f t="shared" si="0"/>
        <v>Low Price</v>
      </c>
      <c r="E12" s="2">
        <f t="shared" si="1"/>
        <v>200</v>
      </c>
      <c r="F12" s="1">
        <v>0.2</v>
      </c>
      <c r="G12" s="1" t="str">
        <f t="shared" si="2"/>
        <v>Medium Discount</v>
      </c>
      <c r="H12">
        <v>12</v>
      </c>
      <c r="I12">
        <v>4.0999999999999996</v>
      </c>
      <c r="J12" t="str">
        <f t="shared" si="3"/>
        <v>Average</v>
      </c>
    </row>
    <row r="13" spans="1:10" x14ac:dyDescent="0.35">
      <c r="A13" t="s">
        <v>24</v>
      </c>
      <c r="B13" s="3">
        <v>990</v>
      </c>
      <c r="C13" s="3">
        <v>1500</v>
      </c>
      <c r="D13" s="2" t="str">
        <f t="shared" si="0"/>
        <v>Low Price</v>
      </c>
      <c r="E13" s="2">
        <f t="shared" si="1"/>
        <v>510</v>
      </c>
      <c r="F13" s="1">
        <v>0.34</v>
      </c>
      <c r="G13" s="1" t="str">
        <f t="shared" si="2"/>
        <v>Medium Discount</v>
      </c>
      <c r="H13">
        <v>39</v>
      </c>
      <c r="I13">
        <v>4.7</v>
      </c>
      <c r="J13" t="str">
        <f t="shared" si="3"/>
        <v>Excellent</v>
      </c>
    </row>
    <row r="14" spans="1:10" x14ac:dyDescent="0.35">
      <c r="A14" t="s">
        <v>25</v>
      </c>
      <c r="B14" s="3">
        <v>552</v>
      </c>
      <c r="C14" s="3">
        <v>1035</v>
      </c>
      <c r="D14" s="2" t="str">
        <f t="shared" si="0"/>
        <v>Low Price</v>
      </c>
      <c r="E14" s="2">
        <f t="shared" si="1"/>
        <v>483</v>
      </c>
      <c r="F14" s="1">
        <v>0.47</v>
      </c>
      <c r="G14" s="1" t="str">
        <f t="shared" si="2"/>
        <v>High Discount</v>
      </c>
      <c r="H14">
        <v>12</v>
      </c>
      <c r="I14">
        <v>4.8</v>
      </c>
      <c r="J14" t="str">
        <f t="shared" si="3"/>
        <v>Excellent</v>
      </c>
    </row>
    <row r="15" spans="1:10" x14ac:dyDescent="0.35">
      <c r="A15" t="s">
        <v>26</v>
      </c>
      <c r="B15" s="3">
        <v>501</v>
      </c>
      <c r="C15" s="3">
        <v>860</v>
      </c>
      <c r="D15" s="2" t="str">
        <f t="shared" si="0"/>
        <v>Low Price</v>
      </c>
      <c r="E15" s="2">
        <f t="shared" si="1"/>
        <v>359</v>
      </c>
      <c r="F15" s="1">
        <v>0.42</v>
      </c>
      <c r="G15" s="1" t="str">
        <f t="shared" si="2"/>
        <v>High Discount</v>
      </c>
      <c r="H15">
        <v>6</v>
      </c>
      <c r="I15">
        <v>4.5</v>
      </c>
      <c r="J15" t="str">
        <f t="shared" si="3"/>
        <v>Average</v>
      </c>
    </row>
    <row r="16" spans="1:10" x14ac:dyDescent="0.35">
      <c r="A16" t="s">
        <v>27</v>
      </c>
      <c r="B16" s="3">
        <v>1680</v>
      </c>
      <c r="C16" s="3">
        <v>2499</v>
      </c>
      <c r="D16" s="2" t="str">
        <f t="shared" si="0"/>
        <v>Low Price</v>
      </c>
      <c r="E16" s="2">
        <f t="shared" si="1"/>
        <v>819</v>
      </c>
      <c r="F16" s="1">
        <v>0.33</v>
      </c>
      <c r="G16" s="1" t="str">
        <f t="shared" si="2"/>
        <v>Medium Discount</v>
      </c>
      <c r="H16">
        <v>9</v>
      </c>
      <c r="I16">
        <v>4.2</v>
      </c>
      <c r="J16" t="str">
        <f t="shared" si="3"/>
        <v>Average</v>
      </c>
    </row>
    <row r="17" spans="1:10" x14ac:dyDescent="0.35">
      <c r="A17" t="s">
        <v>29</v>
      </c>
      <c r="B17" s="3">
        <v>332</v>
      </c>
      <c r="C17" s="3">
        <v>684</v>
      </c>
      <c r="D17" s="2" t="str">
        <f t="shared" si="0"/>
        <v>Low Price</v>
      </c>
      <c r="E17" s="2">
        <f t="shared" si="1"/>
        <v>352</v>
      </c>
      <c r="F17" s="1">
        <v>0.51</v>
      </c>
      <c r="G17" s="1" t="str">
        <f t="shared" si="2"/>
        <v>High Discount</v>
      </c>
      <c r="H17">
        <v>2</v>
      </c>
      <c r="I17">
        <v>5</v>
      </c>
      <c r="J17" t="str">
        <f t="shared" si="3"/>
        <v>Excellent</v>
      </c>
    </row>
    <row r="18" spans="1:10" x14ac:dyDescent="0.35">
      <c r="A18" t="s">
        <v>31</v>
      </c>
      <c r="B18" s="3">
        <v>195</v>
      </c>
      <c r="C18" s="3">
        <v>360</v>
      </c>
      <c r="D18" s="2" t="str">
        <f t="shared" si="0"/>
        <v>Low Price</v>
      </c>
      <c r="E18" s="2">
        <f t="shared" si="1"/>
        <v>165</v>
      </c>
      <c r="F18" s="1">
        <v>0.46</v>
      </c>
      <c r="G18" s="1" t="str">
        <f t="shared" si="2"/>
        <v>High Discount</v>
      </c>
      <c r="H18">
        <v>2</v>
      </c>
      <c r="I18">
        <v>5</v>
      </c>
      <c r="J18" t="str">
        <f t="shared" si="3"/>
        <v>Excellent</v>
      </c>
    </row>
    <row r="19" spans="1:10" x14ac:dyDescent="0.35">
      <c r="A19" t="s">
        <v>32</v>
      </c>
      <c r="B19" s="3">
        <v>2025</v>
      </c>
      <c r="C19" s="3">
        <v>3971</v>
      </c>
      <c r="D19" s="2" t="str">
        <f t="shared" si="0"/>
        <v>Medium Price</v>
      </c>
      <c r="E19" s="2">
        <f t="shared" si="1"/>
        <v>1946</v>
      </c>
      <c r="F19" s="1">
        <v>0.49</v>
      </c>
      <c r="G19" s="1" t="str">
        <f t="shared" si="2"/>
        <v>High Discount</v>
      </c>
      <c r="H19">
        <v>3</v>
      </c>
      <c r="I19">
        <v>5</v>
      </c>
      <c r="J19" t="str">
        <f t="shared" si="3"/>
        <v>Excellent</v>
      </c>
    </row>
    <row r="20" spans="1:10" x14ac:dyDescent="0.35">
      <c r="A20" t="s">
        <v>33</v>
      </c>
      <c r="B20" s="3">
        <v>2999</v>
      </c>
      <c r="C20" s="3">
        <v>3699</v>
      </c>
      <c r="D20" s="2" t="str">
        <f t="shared" si="0"/>
        <v>Medium Price</v>
      </c>
      <c r="E20" s="2">
        <f t="shared" si="1"/>
        <v>700</v>
      </c>
      <c r="F20" s="1">
        <v>0.19</v>
      </c>
      <c r="G20" s="1" t="str">
        <f t="shared" si="2"/>
        <v>Low Discount</v>
      </c>
      <c r="H20">
        <v>5</v>
      </c>
      <c r="I20">
        <v>4.5999999999999996</v>
      </c>
      <c r="J20" t="str">
        <f t="shared" si="3"/>
        <v>Excellent</v>
      </c>
    </row>
    <row r="21" spans="1:10" x14ac:dyDescent="0.35">
      <c r="A21" t="s">
        <v>34</v>
      </c>
      <c r="B21" s="3">
        <v>998</v>
      </c>
      <c r="C21" s="3">
        <v>1966</v>
      </c>
      <c r="D21" s="2" t="str">
        <f t="shared" si="0"/>
        <v>Low Price</v>
      </c>
      <c r="E21" s="2">
        <f t="shared" si="1"/>
        <v>968</v>
      </c>
      <c r="F21" s="1">
        <v>0.49</v>
      </c>
      <c r="G21" s="1" t="str">
        <f t="shared" si="2"/>
        <v>High Discount</v>
      </c>
      <c r="H21">
        <v>44</v>
      </c>
      <c r="I21">
        <v>4.5999999999999996</v>
      </c>
      <c r="J21" t="str">
        <f t="shared" si="3"/>
        <v>Excellent</v>
      </c>
    </row>
    <row r="22" spans="1:10" x14ac:dyDescent="0.35">
      <c r="A22" t="s">
        <v>35</v>
      </c>
      <c r="B22" s="3">
        <v>38</v>
      </c>
      <c r="C22" s="3">
        <v>80</v>
      </c>
      <c r="D22" s="2" t="str">
        <f t="shared" si="0"/>
        <v>Low Price</v>
      </c>
      <c r="E22" s="2">
        <f t="shared" si="1"/>
        <v>42</v>
      </c>
      <c r="F22" s="1">
        <v>0.53</v>
      </c>
      <c r="G22" s="1" t="str">
        <f t="shared" si="2"/>
        <v>High Discount</v>
      </c>
      <c r="H22">
        <v>13</v>
      </c>
      <c r="I22">
        <v>3.3</v>
      </c>
      <c r="J22" t="str">
        <f t="shared" si="3"/>
        <v>Average</v>
      </c>
    </row>
    <row r="23" spans="1:10" x14ac:dyDescent="0.35">
      <c r="A23" t="s">
        <v>37</v>
      </c>
      <c r="B23" s="3">
        <v>1860</v>
      </c>
      <c r="C23" s="3">
        <v>3220</v>
      </c>
      <c r="D23" s="2" t="str">
        <f t="shared" si="0"/>
        <v>Low Price</v>
      </c>
      <c r="E23" s="2">
        <f t="shared" si="1"/>
        <v>1360</v>
      </c>
      <c r="F23" s="1">
        <v>0.42</v>
      </c>
      <c r="G23" s="1" t="str">
        <f t="shared" si="2"/>
        <v>High Discount</v>
      </c>
      <c r="H23" t="s">
        <v>38</v>
      </c>
      <c r="I23" t="s">
        <v>38</v>
      </c>
      <c r="J23" t="str">
        <f t="shared" si="3"/>
        <v>Unknown</v>
      </c>
    </row>
    <row r="24" spans="1:10" x14ac:dyDescent="0.35">
      <c r="A24" t="s">
        <v>39</v>
      </c>
      <c r="B24" s="3">
        <v>880</v>
      </c>
      <c r="C24" s="3">
        <v>1350</v>
      </c>
      <c r="D24" s="2" t="str">
        <f t="shared" si="0"/>
        <v>Low Price</v>
      </c>
      <c r="E24" s="2">
        <f t="shared" si="1"/>
        <v>470</v>
      </c>
      <c r="F24" s="1">
        <v>0.35</v>
      </c>
      <c r="G24" s="1" t="str">
        <f t="shared" si="2"/>
        <v>Medium Discount</v>
      </c>
      <c r="H24">
        <v>6</v>
      </c>
      <c r="I24">
        <v>4</v>
      </c>
      <c r="J24" t="str">
        <f t="shared" si="3"/>
        <v>Average</v>
      </c>
    </row>
    <row r="25" spans="1:10" x14ac:dyDescent="0.35">
      <c r="A25" t="s">
        <v>40</v>
      </c>
      <c r="B25" s="3">
        <v>1650</v>
      </c>
      <c r="C25" s="3">
        <v>2150</v>
      </c>
      <c r="D25" s="2" t="str">
        <f t="shared" si="0"/>
        <v>Low Price</v>
      </c>
      <c r="E25" s="2">
        <f t="shared" si="1"/>
        <v>500</v>
      </c>
      <c r="F25" s="1">
        <v>0.23</v>
      </c>
      <c r="G25" s="1" t="str">
        <f t="shared" si="2"/>
        <v>Medium Discount</v>
      </c>
      <c r="H25">
        <v>14</v>
      </c>
      <c r="I25">
        <v>4.4000000000000004</v>
      </c>
      <c r="J25" t="str">
        <f t="shared" si="3"/>
        <v>Average</v>
      </c>
    </row>
    <row r="26" spans="1:10" x14ac:dyDescent="0.35">
      <c r="A26" t="s">
        <v>42</v>
      </c>
      <c r="B26" s="3">
        <v>2048</v>
      </c>
      <c r="C26" s="3">
        <v>4500</v>
      </c>
      <c r="D26" s="2" t="str">
        <f t="shared" si="0"/>
        <v>Medium Price</v>
      </c>
      <c r="E26" s="2">
        <f t="shared" si="1"/>
        <v>2452</v>
      </c>
      <c r="F26" s="1">
        <v>0.54</v>
      </c>
      <c r="G26" s="1" t="str">
        <f t="shared" si="2"/>
        <v>High Discount</v>
      </c>
      <c r="H26">
        <v>7</v>
      </c>
      <c r="I26">
        <v>4.3</v>
      </c>
      <c r="J26" t="str">
        <f t="shared" si="3"/>
        <v>Average</v>
      </c>
    </row>
    <row r="27" spans="1:10" x14ac:dyDescent="0.35">
      <c r="A27" t="s">
        <v>44</v>
      </c>
      <c r="B27" s="3">
        <v>420</v>
      </c>
      <c r="C27" s="3">
        <v>647</v>
      </c>
      <c r="D27" s="2" t="str">
        <f t="shared" si="0"/>
        <v>Low Price</v>
      </c>
      <c r="E27" s="2">
        <f t="shared" si="1"/>
        <v>227</v>
      </c>
      <c r="F27" s="1">
        <v>0.35</v>
      </c>
      <c r="G27" s="1" t="str">
        <f t="shared" si="2"/>
        <v>Medium Discount</v>
      </c>
      <c r="H27">
        <v>49</v>
      </c>
      <c r="I27">
        <v>4.5999999999999996</v>
      </c>
      <c r="J27" t="str">
        <f t="shared" si="3"/>
        <v>Excellent</v>
      </c>
    </row>
    <row r="28" spans="1:10" x14ac:dyDescent="0.35">
      <c r="A28" t="s">
        <v>45</v>
      </c>
      <c r="B28" s="3">
        <v>2880</v>
      </c>
      <c r="C28" s="3">
        <v>3520</v>
      </c>
      <c r="D28" s="2" t="str">
        <f t="shared" si="0"/>
        <v>Medium Price</v>
      </c>
      <c r="E28" s="2">
        <f t="shared" si="1"/>
        <v>640</v>
      </c>
      <c r="F28" s="1">
        <v>0.18</v>
      </c>
      <c r="G28" s="1" t="str">
        <f t="shared" si="2"/>
        <v>Low Discount</v>
      </c>
      <c r="H28">
        <v>12</v>
      </c>
      <c r="I28">
        <v>3.8</v>
      </c>
      <c r="J28" t="str">
        <f t="shared" si="3"/>
        <v>Average</v>
      </c>
    </row>
    <row r="29" spans="1:10" x14ac:dyDescent="0.35">
      <c r="A29" t="s">
        <v>46</v>
      </c>
      <c r="B29" s="3">
        <v>1350</v>
      </c>
      <c r="C29" s="3">
        <v>1990</v>
      </c>
      <c r="D29" s="2" t="str">
        <f t="shared" si="0"/>
        <v>Low Price</v>
      </c>
      <c r="E29" s="2">
        <f t="shared" si="1"/>
        <v>640</v>
      </c>
      <c r="F29" s="1">
        <v>0.32</v>
      </c>
      <c r="G29" s="1" t="str">
        <f t="shared" si="2"/>
        <v>Medium Discount</v>
      </c>
      <c r="H29">
        <v>13</v>
      </c>
      <c r="I29">
        <v>3.8</v>
      </c>
      <c r="J29" t="str">
        <f t="shared" si="3"/>
        <v>Average</v>
      </c>
    </row>
    <row r="30" spans="1:10" x14ac:dyDescent="0.35">
      <c r="A30" t="s">
        <v>47</v>
      </c>
      <c r="B30" s="3">
        <v>1758</v>
      </c>
      <c r="C30" s="3">
        <v>2499</v>
      </c>
      <c r="D30" s="2" t="str">
        <f t="shared" si="0"/>
        <v>Low Price</v>
      </c>
      <c r="E30" s="2">
        <f t="shared" si="1"/>
        <v>741</v>
      </c>
      <c r="F30" s="1">
        <v>0.3</v>
      </c>
      <c r="G30" s="1" t="str">
        <f t="shared" si="2"/>
        <v>Medium Discount</v>
      </c>
      <c r="H30">
        <v>20</v>
      </c>
      <c r="I30">
        <v>4.0999999999999996</v>
      </c>
      <c r="J30" t="str">
        <f t="shared" si="3"/>
        <v>Average</v>
      </c>
    </row>
    <row r="31" spans="1:10" x14ac:dyDescent="0.35">
      <c r="A31" t="s">
        <v>48</v>
      </c>
      <c r="B31" s="3">
        <v>2200</v>
      </c>
      <c r="C31" s="3">
        <v>4080</v>
      </c>
      <c r="D31" s="2" t="str">
        <f t="shared" si="0"/>
        <v>Medium Price</v>
      </c>
      <c r="E31" s="2">
        <f t="shared" si="1"/>
        <v>1880</v>
      </c>
      <c r="F31" s="1">
        <v>0.46</v>
      </c>
      <c r="G31" s="1" t="str">
        <f t="shared" si="2"/>
        <v>High Discount</v>
      </c>
      <c r="H31" t="s">
        <v>38</v>
      </c>
      <c r="I31" t="s">
        <v>38</v>
      </c>
      <c r="J31" t="str">
        <f t="shared" si="3"/>
        <v>Unknown</v>
      </c>
    </row>
    <row r="32" spans="1:10" x14ac:dyDescent="0.35">
      <c r="A32" t="s">
        <v>49</v>
      </c>
      <c r="B32" s="3">
        <v>185</v>
      </c>
      <c r="C32" s="3">
        <v>382</v>
      </c>
      <c r="D32" s="2" t="str">
        <f t="shared" si="0"/>
        <v>Low Price</v>
      </c>
      <c r="E32" s="2">
        <f t="shared" si="1"/>
        <v>197</v>
      </c>
      <c r="F32" s="1">
        <v>0.52</v>
      </c>
      <c r="G32" s="1" t="str">
        <f t="shared" si="2"/>
        <v>High Discount</v>
      </c>
      <c r="H32">
        <v>9</v>
      </c>
      <c r="I32">
        <v>4.3</v>
      </c>
      <c r="J32" t="str">
        <f t="shared" si="3"/>
        <v>Average</v>
      </c>
    </row>
    <row r="33" spans="1:10" x14ac:dyDescent="0.35">
      <c r="A33" t="s">
        <v>50</v>
      </c>
      <c r="B33" s="3">
        <v>980</v>
      </c>
      <c r="C33" s="3">
        <v>1490</v>
      </c>
      <c r="D33" s="2" t="str">
        <f t="shared" si="0"/>
        <v>Low Price</v>
      </c>
      <c r="E33" s="2">
        <f t="shared" si="1"/>
        <v>510</v>
      </c>
      <c r="F33" s="1">
        <v>0.34</v>
      </c>
      <c r="G33" s="1" t="str">
        <f t="shared" si="2"/>
        <v>Medium Discount</v>
      </c>
      <c r="H33">
        <v>12</v>
      </c>
      <c r="I33">
        <v>4.7</v>
      </c>
      <c r="J33" t="str">
        <f t="shared" si="3"/>
        <v>Excellent</v>
      </c>
    </row>
    <row r="34" spans="1:10" x14ac:dyDescent="0.35">
      <c r="A34" t="s">
        <v>51</v>
      </c>
      <c r="B34" s="3">
        <v>1820</v>
      </c>
      <c r="C34" s="3">
        <v>3490</v>
      </c>
      <c r="D34" s="2" t="str">
        <f t="shared" si="0"/>
        <v>Low Price</v>
      </c>
      <c r="E34" s="2">
        <f t="shared" si="1"/>
        <v>1670</v>
      </c>
      <c r="F34" s="1">
        <v>0.48</v>
      </c>
      <c r="G34" s="1" t="str">
        <f t="shared" si="2"/>
        <v>High Discount</v>
      </c>
      <c r="H34">
        <v>9</v>
      </c>
      <c r="I34">
        <v>4.3</v>
      </c>
      <c r="J34" t="str">
        <f t="shared" si="3"/>
        <v>Average</v>
      </c>
    </row>
    <row r="35" spans="1:10" x14ac:dyDescent="0.35">
      <c r="A35" t="s">
        <v>52</v>
      </c>
      <c r="B35" s="3">
        <v>1940</v>
      </c>
      <c r="C35" s="3">
        <v>2650</v>
      </c>
      <c r="D35" s="2" t="str">
        <f t="shared" si="0"/>
        <v>Low Price</v>
      </c>
      <c r="E35" s="2">
        <f t="shared" si="1"/>
        <v>710</v>
      </c>
      <c r="F35" s="1">
        <v>0.27</v>
      </c>
      <c r="G35" s="1" t="str">
        <f t="shared" si="2"/>
        <v>Medium Discount</v>
      </c>
      <c r="H35">
        <v>20</v>
      </c>
      <c r="I35">
        <v>4.7</v>
      </c>
      <c r="J35" t="str">
        <f t="shared" si="3"/>
        <v>Excellent</v>
      </c>
    </row>
    <row r="36" spans="1:10" x14ac:dyDescent="0.35">
      <c r="A36" t="s">
        <v>53</v>
      </c>
      <c r="B36" s="3">
        <v>1980</v>
      </c>
      <c r="C36" s="3">
        <v>2699</v>
      </c>
      <c r="D36" s="2" t="str">
        <f t="shared" si="0"/>
        <v>Low Price</v>
      </c>
      <c r="E36" s="2">
        <f t="shared" si="1"/>
        <v>719</v>
      </c>
      <c r="F36" s="1">
        <v>0.27</v>
      </c>
      <c r="G36" s="1" t="str">
        <f t="shared" si="2"/>
        <v>Medium Discount</v>
      </c>
      <c r="H36">
        <v>32</v>
      </c>
      <c r="I36">
        <v>4.5</v>
      </c>
      <c r="J36" t="str">
        <f t="shared" si="3"/>
        <v>Average</v>
      </c>
    </row>
    <row r="37" spans="1:10" x14ac:dyDescent="0.35">
      <c r="A37" t="s">
        <v>54</v>
      </c>
      <c r="B37" s="3">
        <v>1620</v>
      </c>
      <c r="C37" s="3">
        <v>2690</v>
      </c>
      <c r="D37" s="2" t="str">
        <f t="shared" si="0"/>
        <v>Low Price</v>
      </c>
      <c r="E37" s="2">
        <f t="shared" si="1"/>
        <v>1070</v>
      </c>
      <c r="F37" s="1">
        <v>0.4</v>
      </c>
      <c r="G37" s="1" t="str">
        <f t="shared" si="2"/>
        <v>Medium Discount</v>
      </c>
      <c r="H37">
        <v>1</v>
      </c>
      <c r="I37">
        <v>5</v>
      </c>
      <c r="J37" t="str">
        <f t="shared" si="3"/>
        <v>Excellent</v>
      </c>
    </row>
    <row r="38" spans="1:10" x14ac:dyDescent="0.35">
      <c r="A38" t="s">
        <v>55</v>
      </c>
      <c r="B38" s="3">
        <v>171</v>
      </c>
      <c r="C38" s="3">
        <v>360</v>
      </c>
      <c r="D38" s="2" t="str">
        <f t="shared" si="0"/>
        <v>Low Price</v>
      </c>
      <c r="E38" s="2">
        <f t="shared" si="1"/>
        <v>189</v>
      </c>
      <c r="F38" s="1">
        <v>0.53</v>
      </c>
      <c r="G38" s="1" t="str">
        <f t="shared" si="2"/>
        <v>High Discount</v>
      </c>
      <c r="H38">
        <v>2</v>
      </c>
      <c r="I38">
        <v>5</v>
      </c>
      <c r="J38" t="str">
        <f t="shared" si="3"/>
        <v>Excellent</v>
      </c>
    </row>
    <row r="39" spans="1:10" x14ac:dyDescent="0.35">
      <c r="A39" t="s">
        <v>56</v>
      </c>
      <c r="B39" s="3">
        <v>389</v>
      </c>
      <c r="C39" s="3">
        <v>656</v>
      </c>
      <c r="D39" s="2" t="str">
        <f t="shared" si="0"/>
        <v>Low Price</v>
      </c>
      <c r="E39" s="2">
        <f t="shared" si="1"/>
        <v>267</v>
      </c>
      <c r="F39" s="1">
        <v>0.41</v>
      </c>
      <c r="G39" s="1" t="str">
        <f t="shared" si="2"/>
        <v>High Discount</v>
      </c>
      <c r="H39">
        <v>36</v>
      </c>
      <c r="I39">
        <v>4.3</v>
      </c>
      <c r="J39" t="str">
        <f t="shared" si="3"/>
        <v>Average</v>
      </c>
    </row>
    <row r="40" spans="1:10" x14ac:dyDescent="0.35">
      <c r="A40" t="s">
        <v>57</v>
      </c>
      <c r="B40" s="3">
        <f>AVERAGE(1620,1980)</f>
        <v>1800</v>
      </c>
      <c r="C40" s="3">
        <f>AVERAGE(2200,3200)</f>
        <v>2700</v>
      </c>
      <c r="D40" s="2" t="str">
        <f t="shared" si="0"/>
        <v>Low Price</v>
      </c>
      <c r="E40" s="2">
        <f t="shared" si="1"/>
        <v>900</v>
      </c>
      <c r="F40" s="1">
        <v>0.38</v>
      </c>
      <c r="G40" s="1" t="str">
        <f t="shared" si="2"/>
        <v>Medium Discount</v>
      </c>
      <c r="H40">
        <v>2</v>
      </c>
      <c r="I40">
        <v>4.5</v>
      </c>
      <c r="J40" t="str">
        <f t="shared" si="3"/>
        <v>Average</v>
      </c>
    </row>
    <row r="41" spans="1:10" x14ac:dyDescent="0.35">
      <c r="A41" t="s">
        <v>60</v>
      </c>
      <c r="B41" s="3">
        <v>2750</v>
      </c>
      <c r="C41" s="3">
        <v>4471</v>
      </c>
      <c r="D41" s="2" t="str">
        <f t="shared" si="0"/>
        <v>Medium Price</v>
      </c>
      <c r="E41" s="2">
        <f t="shared" si="1"/>
        <v>1721</v>
      </c>
      <c r="F41" s="1">
        <v>0.38</v>
      </c>
      <c r="G41" s="1" t="str">
        <f t="shared" si="2"/>
        <v>Medium Discount</v>
      </c>
      <c r="H41" t="s">
        <v>38</v>
      </c>
      <c r="I41" t="s">
        <v>38</v>
      </c>
      <c r="J41" t="str">
        <f t="shared" si="3"/>
        <v>Unknown</v>
      </c>
    </row>
    <row r="42" spans="1:10" x14ac:dyDescent="0.35">
      <c r="A42" t="s">
        <v>61</v>
      </c>
      <c r="B42" s="3">
        <v>475</v>
      </c>
      <c r="C42" s="3">
        <v>931</v>
      </c>
      <c r="D42" s="2" t="str">
        <f t="shared" si="0"/>
        <v>Low Price</v>
      </c>
      <c r="E42" s="2">
        <f t="shared" si="1"/>
        <v>456</v>
      </c>
      <c r="F42" s="1">
        <v>0.49</v>
      </c>
      <c r="G42" s="1" t="str">
        <f t="shared" si="2"/>
        <v>High Discount</v>
      </c>
      <c r="H42" t="s">
        <v>38</v>
      </c>
      <c r="I42" t="s">
        <v>38</v>
      </c>
      <c r="J42" t="str">
        <f t="shared" si="3"/>
        <v>Unknown</v>
      </c>
    </row>
    <row r="43" spans="1:10" x14ac:dyDescent="0.35">
      <c r="A43" t="s">
        <v>62</v>
      </c>
      <c r="B43" s="3">
        <v>238</v>
      </c>
      <c r="C43" s="3">
        <v>476</v>
      </c>
      <c r="D43" s="2" t="str">
        <f t="shared" si="0"/>
        <v>Low Price</v>
      </c>
      <c r="E43" s="2">
        <f t="shared" si="1"/>
        <v>238</v>
      </c>
      <c r="F43" s="1">
        <v>0.5</v>
      </c>
      <c r="G43" s="1" t="str">
        <f t="shared" si="2"/>
        <v>High Discount</v>
      </c>
      <c r="H43" t="s">
        <v>38</v>
      </c>
      <c r="I43" t="s">
        <v>38</v>
      </c>
      <c r="J43" t="str">
        <f t="shared" si="3"/>
        <v>Unknown</v>
      </c>
    </row>
    <row r="44" spans="1:10" x14ac:dyDescent="0.35">
      <c r="A44" t="s">
        <v>63</v>
      </c>
      <c r="B44" s="3">
        <v>610</v>
      </c>
      <c r="C44" s="3">
        <v>1060</v>
      </c>
      <c r="D44" s="2" t="str">
        <f t="shared" si="0"/>
        <v>Low Price</v>
      </c>
      <c r="E44" s="2">
        <f t="shared" si="1"/>
        <v>450</v>
      </c>
      <c r="F44" s="1">
        <v>0.42</v>
      </c>
      <c r="G44" s="1" t="str">
        <f t="shared" si="2"/>
        <v>High Discount</v>
      </c>
      <c r="H44" t="s">
        <v>38</v>
      </c>
      <c r="I44" t="s">
        <v>38</v>
      </c>
      <c r="J44" t="str">
        <f t="shared" si="3"/>
        <v>Unknown</v>
      </c>
    </row>
    <row r="45" spans="1:10" x14ac:dyDescent="0.35">
      <c r="A45" t="s">
        <v>64</v>
      </c>
      <c r="B45" s="3">
        <v>2132</v>
      </c>
      <c r="C45" s="3">
        <v>2169</v>
      </c>
      <c r="D45" s="2" t="str">
        <f t="shared" si="0"/>
        <v>Medium Price</v>
      </c>
      <c r="E45" s="2">
        <f t="shared" si="1"/>
        <v>37</v>
      </c>
      <c r="F45" s="1">
        <v>0.02</v>
      </c>
      <c r="G45" s="1" t="str">
        <f t="shared" si="2"/>
        <v>Low Discount</v>
      </c>
      <c r="H45" t="s">
        <v>38</v>
      </c>
      <c r="I45" t="s">
        <v>38</v>
      </c>
      <c r="J45" t="str">
        <f t="shared" si="3"/>
        <v>Unknown</v>
      </c>
    </row>
    <row r="46" spans="1:10" x14ac:dyDescent="0.35">
      <c r="A46" t="s">
        <v>65</v>
      </c>
      <c r="B46" s="3">
        <v>999</v>
      </c>
      <c r="C46" s="3">
        <v>2000</v>
      </c>
      <c r="D46" s="2" t="str">
        <f t="shared" si="0"/>
        <v>Low Price</v>
      </c>
      <c r="E46" s="2">
        <f t="shared" si="1"/>
        <v>1001</v>
      </c>
      <c r="F46" s="1">
        <v>0.5</v>
      </c>
      <c r="G46" s="1" t="str">
        <f t="shared" si="2"/>
        <v>High Discount</v>
      </c>
      <c r="H46" t="s">
        <v>38</v>
      </c>
      <c r="I46" t="s">
        <v>38</v>
      </c>
      <c r="J46" t="str">
        <f t="shared" si="3"/>
        <v>Unknown</v>
      </c>
    </row>
    <row r="47" spans="1:10" x14ac:dyDescent="0.35">
      <c r="A47" t="s">
        <v>66</v>
      </c>
      <c r="B47" s="3">
        <v>1190</v>
      </c>
      <c r="C47" s="3">
        <v>1785</v>
      </c>
      <c r="D47" s="2" t="str">
        <f t="shared" si="0"/>
        <v>Low Price</v>
      </c>
      <c r="E47" s="2">
        <f t="shared" si="1"/>
        <v>595</v>
      </c>
      <c r="F47" s="1">
        <v>0.33</v>
      </c>
      <c r="G47" s="1" t="str">
        <f t="shared" si="2"/>
        <v>Medium Discount</v>
      </c>
      <c r="H47" t="s">
        <v>38</v>
      </c>
      <c r="I47" t="s">
        <v>38</v>
      </c>
      <c r="J47" t="str">
        <f t="shared" si="3"/>
        <v>Unknown</v>
      </c>
    </row>
    <row r="48" spans="1:10" x14ac:dyDescent="0.35">
      <c r="A48" t="s">
        <v>67</v>
      </c>
      <c r="B48" s="3">
        <v>671</v>
      </c>
      <c r="C48" s="3">
        <v>1316</v>
      </c>
      <c r="D48" s="2" t="str">
        <f t="shared" si="0"/>
        <v>Low Price</v>
      </c>
      <c r="E48" s="2">
        <f t="shared" si="1"/>
        <v>645</v>
      </c>
      <c r="F48" s="1">
        <v>0.49</v>
      </c>
      <c r="G48" s="1" t="str">
        <f t="shared" si="2"/>
        <v>High Discount</v>
      </c>
      <c r="H48" t="s">
        <v>38</v>
      </c>
      <c r="I48" t="s">
        <v>38</v>
      </c>
      <c r="J48" t="str">
        <f t="shared" si="3"/>
        <v>Unknown</v>
      </c>
    </row>
    <row r="49" spans="1:10" x14ac:dyDescent="0.35">
      <c r="A49" t="s">
        <v>68</v>
      </c>
      <c r="B49" s="3">
        <v>1200</v>
      </c>
      <c r="C49" s="3">
        <v>1950</v>
      </c>
      <c r="D49" s="2" t="str">
        <f t="shared" si="0"/>
        <v>Low Price</v>
      </c>
      <c r="E49" s="2">
        <f t="shared" si="1"/>
        <v>750</v>
      </c>
      <c r="F49" s="1">
        <v>0.38</v>
      </c>
      <c r="G49" s="1" t="str">
        <f t="shared" si="2"/>
        <v>Medium Discount</v>
      </c>
      <c r="H49" t="s">
        <v>38</v>
      </c>
      <c r="I49" t="s">
        <v>38</v>
      </c>
      <c r="J49" t="str">
        <f t="shared" si="3"/>
        <v>Unknown</v>
      </c>
    </row>
    <row r="50" spans="1:10" x14ac:dyDescent="0.35">
      <c r="A50" t="s">
        <v>69</v>
      </c>
      <c r="B50" s="3">
        <v>199</v>
      </c>
      <c r="C50" s="3">
        <v>504</v>
      </c>
      <c r="D50" s="2" t="str">
        <f t="shared" si="0"/>
        <v>Low Price</v>
      </c>
      <c r="E50" s="2">
        <f t="shared" si="1"/>
        <v>305</v>
      </c>
      <c r="F50" s="1">
        <v>0.61</v>
      </c>
      <c r="G50" s="1" t="str">
        <f t="shared" si="2"/>
        <v>High Discount</v>
      </c>
      <c r="H50" t="s">
        <v>38</v>
      </c>
      <c r="I50" t="s">
        <v>38</v>
      </c>
      <c r="J50" t="str">
        <f t="shared" si="3"/>
        <v>Unknown</v>
      </c>
    </row>
    <row r="51" spans="1:10" x14ac:dyDescent="0.35">
      <c r="A51" t="s">
        <v>70</v>
      </c>
      <c r="B51" s="3">
        <v>299</v>
      </c>
      <c r="C51" s="3">
        <v>600</v>
      </c>
      <c r="D51" s="2" t="str">
        <f t="shared" si="0"/>
        <v>Low Price</v>
      </c>
      <c r="E51" s="2">
        <f t="shared" si="1"/>
        <v>301</v>
      </c>
      <c r="F51" s="1">
        <v>0.5</v>
      </c>
      <c r="G51" s="1" t="str">
        <f t="shared" si="2"/>
        <v>High Discount</v>
      </c>
      <c r="H51" t="s">
        <v>38</v>
      </c>
      <c r="I51" t="s">
        <v>38</v>
      </c>
      <c r="J51" t="str">
        <f t="shared" si="3"/>
        <v>Unknown</v>
      </c>
    </row>
    <row r="52" spans="1:10" x14ac:dyDescent="0.35">
      <c r="A52" t="s">
        <v>71</v>
      </c>
      <c r="B52" s="3">
        <v>1660</v>
      </c>
      <c r="C52" s="3">
        <v>1699</v>
      </c>
      <c r="D52" s="2" t="str">
        <f t="shared" si="0"/>
        <v>Low Price</v>
      </c>
      <c r="E52" s="2">
        <f t="shared" si="1"/>
        <v>39</v>
      </c>
      <c r="F52" s="1">
        <v>0.02</v>
      </c>
      <c r="G52" s="1" t="str">
        <f t="shared" si="2"/>
        <v>Low Discount</v>
      </c>
      <c r="H52" t="s">
        <v>38</v>
      </c>
      <c r="I52" t="s">
        <v>38</v>
      </c>
      <c r="J52" t="str">
        <f t="shared" si="3"/>
        <v>Unknown</v>
      </c>
    </row>
    <row r="53" spans="1:10" x14ac:dyDescent="0.35">
      <c r="A53" t="s">
        <v>72</v>
      </c>
      <c r="B53" s="3">
        <v>299</v>
      </c>
      <c r="C53" s="3">
        <v>384</v>
      </c>
      <c r="D53" s="2" t="str">
        <f t="shared" si="0"/>
        <v>Low Price</v>
      </c>
      <c r="E53" s="2">
        <f t="shared" si="1"/>
        <v>85</v>
      </c>
      <c r="F53" s="1">
        <v>0.22</v>
      </c>
      <c r="G53" s="1" t="str">
        <f t="shared" si="2"/>
        <v>Medium Discount</v>
      </c>
      <c r="H53" t="s">
        <v>38</v>
      </c>
      <c r="I53" t="s">
        <v>38</v>
      </c>
      <c r="J53" t="str">
        <f t="shared" si="3"/>
        <v>Unknown</v>
      </c>
    </row>
    <row r="54" spans="1:10" x14ac:dyDescent="0.35">
      <c r="A54" t="s">
        <v>73</v>
      </c>
      <c r="B54" s="3">
        <v>1459</v>
      </c>
      <c r="C54" s="3">
        <v>1499</v>
      </c>
      <c r="D54" s="2" t="str">
        <f t="shared" si="0"/>
        <v>Low Price</v>
      </c>
      <c r="E54" s="2">
        <f t="shared" si="1"/>
        <v>40</v>
      </c>
      <c r="F54" s="1">
        <v>0.03</v>
      </c>
      <c r="G54" s="1" t="str">
        <f t="shared" si="2"/>
        <v>Low Discount</v>
      </c>
      <c r="H54" t="s">
        <v>38</v>
      </c>
      <c r="I54" t="s">
        <v>38</v>
      </c>
      <c r="J54" t="str">
        <f t="shared" si="3"/>
        <v>Unknown</v>
      </c>
    </row>
    <row r="55" spans="1:10" x14ac:dyDescent="0.35">
      <c r="A55" t="s">
        <v>74</v>
      </c>
      <c r="B55" s="3">
        <v>799</v>
      </c>
      <c r="C55" s="3">
        <v>1343</v>
      </c>
      <c r="D55" s="2" t="str">
        <f t="shared" si="0"/>
        <v>Low Price</v>
      </c>
      <c r="E55" s="2">
        <f t="shared" si="1"/>
        <v>544</v>
      </c>
      <c r="F55" s="1">
        <v>0.41</v>
      </c>
      <c r="G55" s="1" t="str">
        <f t="shared" si="2"/>
        <v>High Discount</v>
      </c>
      <c r="H55" t="s">
        <v>38</v>
      </c>
      <c r="I55" t="s">
        <v>38</v>
      </c>
      <c r="J55" t="str">
        <f t="shared" si="3"/>
        <v>Unknown</v>
      </c>
    </row>
    <row r="56" spans="1:10" x14ac:dyDescent="0.35">
      <c r="A56" t="s">
        <v>75</v>
      </c>
      <c r="B56" s="3">
        <v>499</v>
      </c>
      <c r="C56" s="3">
        <v>900</v>
      </c>
      <c r="D56" s="2" t="str">
        <f t="shared" si="0"/>
        <v>Low Price</v>
      </c>
      <c r="E56" s="2">
        <f t="shared" si="1"/>
        <v>401</v>
      </c>
      <c r="F56" s="1">
        <v>0.45</v>
      </c>
      <c r="G56" s="1" t="str">
        <f t="shared" si="2"/>
        <v>High Discount</v>
      </c>
      <c r="H56" t="s">
        <v>38</v>
      </c>
      <c r="I56" t="s">
        <v>38</v>
      </c>
      <c r="J56" t="str">
        <f t="shared" si="3"/>
        <v>Unknown</v>
      </c>
    </row>
    <row r="57" spans="1:10" x14ac:dyDescent="0.35">
      <c r="A57" t="s">
        <v>76</v>
      </c>
      <c r="B57" s="3">
        <v>699</v>
      </c>
      <c r="C57" s="3">
        <v>1343</v>
      </c>
      <c r="D57" s="2" t="str">
        <f t="shared" si="0"/>
        <v>Low Price</v>
      </c>
      <c r="E57" s="2">
        <f t="shared" si="1"/>
        <v>644</v>
      </c>
      <c r="F57" s="1">
        <v>0.48</v>
      </c>
      <c r="G57" s="1" t="str">
        <f t="shared" si="2"/>
        <v>High Discount</v>
      </c>
      <c r="H57" t="s">
        <v>38</v>
      </c>
      <c r="I57" t="s">
        <v>38</v>
      </c>
      <c r="J57" t="str">
        <f t="shared" si="3"/>
        <v>Unknown</v>
      </c>
    </row>
    <row r="58" spans="1:10" x14ac:dyDescent="0.35">
      <c r="A58" t="s">
        <v>77</v>
      </c>
      <c r="B58" s="3">
        <v>799</v>
      </c>
      <c r="C58" s="3">
        <v>1567</v>
      </c>
      <c r="D58" s="2" t="str">
        <f t="shared" si="0"/>
        <v>Low Price</v>
      </c>
      <c r="E58" s="2">
        <f t="shared" si="1"/>
        <v>768</v>
      </c>
      <c r="F58" s="1">
        <v>0.49</v>
      </c>
      <c r="G58" s="1" t="str">
        <f t="shared" si="2"/>
        <v>High Discount</v>
      </c>
      <c r="H58" t="s">
        <v>38</v>
      </c>
      <c r="I58" t="s">
        <v>38</v>
      </c>
      <c r="J58" t="str">
        <f t="shared" si="3"/>
        <v>Unknown</v>
      </c>
    </row>
    <row r="59" spans="1:10" x14ac:dyDescent="0.35">
      <c r="A59" t="s">
        <v>78</v>
      </c>
      <c r="B59" s="3">
        <v>2799</v>
      </c>
      <c r="C59" s="3">
        <v>3810</v>
      </c>
      <c r="D59" s="2" t="str">
        <f t="shared" si="0"/>
        <v>Medium Price</v>
      </c>
      <c r="E59" s="2">
        <f t="shared" si="1"/>
        <v>1011</v>
      </c>
      <c r="F59" s="1">
        <v>0.27</v>
      </c>
      <c r="G59" s="1" t="str">
        <f t="shared" si="2"/>
        <v>Medium Discount</v>
      </c>
      <c r="H59" t="s">
        <v>38</v>
      </c>
      <c r="I59" t="s">
        <v>38</v>
      </c>
      <c r="J59" t="str">
        <f t="shared" si="3"/>
        <v>Unknown</v>
      </c>
    </row>
    <row r="60" spans="1:10" x14ac:dyDescent="0.35">
      <c r="A60" t="s">
        <v>75</v>
      </c>
      <c r="B60" s="3">
        <v>399</v>
      </c>
      <c r="C60" s="3">
        <v>896</v>
      </c>
      <c r="D60" s="2" t="str">
        <f t="shared" si="0"/>
        <v>Low Price</v>
      </c>
      <c r="E60" s="2">
        <f t="shared" si="1"/>
        <v>497</v>
      </c>
      <c r="F60" s="1">
        <v>0.55000000000000004</v>
      </c>
      <c r="G60" s="1" t="str">
        <f t="shared" si="2"/>
        <v>High Discount</v>
      </c>
      <c r="H60" t="s">
        <v>38</v>
      </c>
      <c r="I60" t="s">
        <v>38</v>
      </c>
      <c r="J60" t="str">
        <f t="shared" si="3"/>
        <v>Unknown</v>
      </c>
    </row>
    <row r="61" spans="1:10" x14ac:dyDescent="0.35">
      <c r="A61" t="s">
        <v>79</v>
      </c>
      <c r="B61" s="3">
        <v>2170</v>
      </c>
      <c r="C61" s="3">
        <v>2500</v>
      </c>
      <c r="D61" s="2" t="str">
        <f t="shared" si="0"/>
        <v>Medium Price</v>
      </c>
      <c r="E61" s="2">
        <f t="shared" si="1"/>
        <v>330</v>
      </c>
      <c r="F61" s="1">
        <v>0.13</v>
      </c>
      <c r="G61" s="1" t="str">
        <f t="shared" si="2"/>
        <v>Low Discount</v>
      </c>
      <c r="H61">
        <v>6</v>
      </c>
      <c r="I61">
        <v>2.5</v>
      </c>
      <c r="J61" t="str">
        <f t="shared" si="3"/>
        <v>Poor</v>
      </c>
    </row>
    <row r="62" spans="1:10" x14ac:dyDescent="0.35">
      <c r="A62" t="s">
        <v>81</v>
      </c>
      <c r="B62" s="3">
        <v>458</v>
      </c>
      <c r="C62" s="3">
        <v>986</v>
      </c>
      <c r="D62" s="2" t="str">
        <f t="shared" si="0"/>
        <v>Low Price</v>
      </c>
      <c r="E62" s="2">
        <f t="shared" si="1"/>
        <v>528</v>
      </c>
      <c r="F62" s="1">
        <v>0.54</v>
      </c>
      <c r="G62" s="1" t="str">
        <f t="shared" si="2"/>
        <v>High Discount</v>
      </c>
      <c r="H62">
        <v>10</v>
      </c>
      <c r="I62">
        <v>3</v>
      </c>
      <c r="J62" t="str">
        <f t="shared" si="3"/>
        <v>Average</v>
      </c>
    </row>
    <row r="63" spans="1:10" x14ac:dyDescent="0.35">
      <c r="A63" t="s">
        <v>83</v>
      </c>
      <c r="B63" s="3">
        <v>2115</v>
      </c>
      <c r="C63" s="3">
        <v>4700</v>
      </c>
      <c r="D63" s="2" t="str">
        <f t="shared" si="0"/>
        <v>Medium Price</v>
      </c>
      <c r="E63" s="2">
        <f t="shared" si="1"/>
        <v>2585</v>
      </c>
      <c r="F63" s="1">
        <v>0.55000000000000004</v>
      </c>
      <c r="G63" s="1" t="str">
        <f t="shared" si="2"/>
        <v>High Discount</v>
      </c>
      <c r="H63">
        <v>13</v>
      </c>
      <c r="I63">
        <v>2.1</v>
      </c>
      <c r="J63" t="str">
        <f t="shared" si="3"/>
        <v>Poor</v>
      </c>
    </row>
    <row r="64" spans="1:10" x14ac:dyDescent="0.35">
      <c r="A64" t="s">
        <v>85</v>
      </c>
      <c r="B64" s="3">
        <v>445</v>
      </c>
      <c r="C64" s="3">
        <v>873</v>
      </c>
      <c r="D64" s="2" t="str">
        <f t="shared" si="0"/>
        <v>Low Price</v>
      </c>
      <c r="E64" s="2">
        <f t="shared" si="1"/>
        <v>428</v>
      </c>
      <c r="F64" s="1">
        <v>0.49</v>
      </c>
      <c r="G64" s="1" t="str">
        <f t="shared" si="2"/>
        <v>High Discount</v>
      </c>
      <c r="H64">
        <v>69</v>
      </c>
      <c r="I64">
        <v>2.8</v>
      </c>
      <c r="J64" t="str">
        <f t="shared" si="3"/>
        <v>Poor</v>
      </c>
    </row>
    <row r="65" spans="1:10" x14ac:dyDescent="0.35">
      <c r="A65" t="s">
        <v>87</v>
      </c>
      <c r="B65" s="3">
        <v>325</v>
      </c>
      <c r="C65" s="3">
        <v>680</v>
      </c>
      <c r="D65" s="2" t="str">
        <f t="shared" si="0"/>
        <v>Low Price</v>
      </c>
      <c r="E65" s="2">
        <f t="shared" si="1"/>
        <v>355</v>
      </c>
      <c r="F65" s="1">
        <v>0.52</v>
      </c>
      <c r="G65" s="1" t="str">
        <f t="shared" si="2"/>
        <v>High Discount</v>
      </c>
      <c r="H65">
        <v>15</v>
      </c>
      <c r="I65">
        <v>2.7</v>
      </c>
      <c r="J65" t="str">
        <f t="shared" si="3"/>
        <v>Poor</v>
      </c>
    </row>
    <row r="66" spans="1:10" x14ac:dyDescent="0.35">
      <c r="A66" t="s">
        <v>89</v>
      </c>
      <c r="B66" s="3">
        <v>1220</v>
      </c>
      <c r="C66" s="3">
        <v>1555</v>
      </c>
      <c r="D66" s="2" t="str">
        <f t="shared" si="0"/>
        <v>Low Price</v>
      </c>
      <c r="E66" s="2">
        <f t="shared" si="1"/>
        <v>335</v>
      </c>
      <c r="F66" s="1">
        <v>0.22</v>
      </c>
      <c r="G66" s="1" t="str">
        <f t="shared" si="2"/>
        <v>Medium Discount</v>
      </c>
      <c r="H66">
        <v>16</v>
      </c>
      <c r="I66">
        <v>2.9</v>
      </c>
      <c r="J66" t="str">
        <f t="shared" si="3"/>
        <v>Poor</v>
      </c>
    </row>
    <row r="67" spans="1:10" x14ac:dyDescent="0.35">
      <c r="A67" t="s">
        <v>91</v>
      </c>
      <c r="B67" s="3">
        <v>990</v>
      </c>
      <c r="C67" s="3">
        <v>1814</v>
      </c>
      <c r="D67" s="2" t="str">
        <f t="shared" ref="D67:D113" si="4">IF(B67&gt;3000,"High Price",IF(B67&gt;=2000,"Medium Price","Low Price"))</f>
        <v>Low Price</v>
      </c>
      <c r="E67" s="2">
        <f t="shared" ref="E67:E113" si="5">C67-B67</f>
        <v>824</v>
      </c>
      <c r="F67" s="1">
        <v>0.45</v>
      </c>
      <c r="G67" s="1" t="str">
        <f t="shared" ref="G67:G113" si="6">IF(F67&lt;20%,"Low Discount",IF(F67&lt;=40%,"Medium Discount","High Discount"))</f>
        <v>High Discount</v>
      </c>
      <c r="H67">
        <v>6</v>
      </c>
      <c r="I67">
        <v>2.2000000000000002</v>
      </c>
      <c r="J67" t="str">
        <f t="shared" ref="J67:J113" si="7">IF(I67="Unknown","Unknown",IF(I67&lt;3,"Poor",IF(I67&lt;=4.5,"Average","Excellent")))</f>
        <v>Poor</v>
      </c>
    </row>
    <row r="68" spans="1:10" x14ac:dyDescent="0.35">
      <c r="A68" t="s">
        <v>93</v>
      </c>
      <c r="B68" s="3">
        <v>1000</v>
      </c>
      <c r="C68" s="3">
        <v>2000</v>
      </c>
      <c r="D68" s="2" t="str">
        <f t="shared" si="4"/>
        <v>Low Price</v>
      </c>
      <c r="E68" s="2">
        <f t="shared" si="5"/>
        <v>1000</v>
      </c>
      <c r="F68" s="1">
        <v>0.5</v>
      </c>
      <c r="G68" s="1" t="str">
        <f t="shared" si="6"/>
        <v>High Discount</v>
      </c>
      <c r="H68">
        <v>7</v>
      </c>
      <c r="I68">
        <v>2.2999999999999998</v>
      </c>
      <c r="J68" t="str">
        <f t="shared" si="7"/>
        <v>Poor</v>
      </c>
    </row>
    <row r="69" spans="1:10" x14ac:dyDescent="0.35">
      <c r="A69" t="s">
        <v>95</v>
      </c>
      <c r="B69" s="3">
        <v>3750</v>
      </c>
      <c r="C69" s="3">
        <v>6143</v>
      </c>
      <c r="D69" s="2" t="str">
        <f t="shared" si="4"/>
        <v>High Price</v>
      </c>
      <c r="E69" s="2">
        <f t="shared" si="5"/>
        <v>2393</v>
      </c>
      <c r="F69" s="1">
        <v>0.39</v>
      </c>
      <c r="G69" s="1" t="str">
        <f t="shared" si="6"/>
        <v>Medium Discount</v>
      </c>
      <c r="H69">
        <v>5</v>
      </c>
      <c r="I69">
        <v>3</v>
      </c>
      <c r="J69" t="str">
        <f t="shared" si="7"/>
        <v>Average</v>
      </c>
    </row>
    <row r="70" spans="1:10" x14ac:dyDescent="0.35">
      <c r="A70" t="s">
        <v>96</v>
      </c>
      <c r="B70" s="3">
        <v>382</v>
      </c>
      <c r="C70" s="3">
        <v>700</v>
      </c>
      <c r="D70" s="2" t="str">
        <f t="shared" si="4"/>
        <v>Low Price</v>
      </c>
      <c r="E70" s="2">
        <f t="shared" si="5"/>
        <v>318</v>
      </c>
      <c r="F70" s="1">
        <v>0.45</v>
      </c>
      <c r="G70" s="1" t="str">
        <f t="shared" si="6"/>
        <v>High Discount</v>
      </c>
      <c r="H70">
        <v>17</v>
      </c>
      <c r="I70">
        <v>2.6</v>
      </c>
      <c r="J70" t="str">
        <f t="shared" si="7"/>
        <v>Poor</v>
      </c>
    </row>
    <row r="71" spans="1:10" x14ac:dyDescent="0.35">
      <c r="A71" t="s">
        <v>98</v>
      </c>
      <c r="B71" s="3">
        <v>2300</v>
      </c>
      <c r="C71" s="3">
        <v>3240</v>
      </c>
      <c r="D71" s="2" t="str">
        <f t="shared" si="4"/>
        <v>Medium Price</v>
      </c>
      <c r="E71" s="2">
        <f t="shared" si="5"/>
        <v>940</v>
      </c>
      <c r="F71" s="1">
        <v>0.28999999999999998</v>
      </c>
      <c r="G71" s="1" t="str">
        <f t="shared" si="6"/>
        <v>Medium Discount</v>
      </c>
      <c r="H71">
        <v>5</v>
      </c>
      <c r="I71">
        <v>3</v>
      </c>
      <c r="J71" t="str">
        <f t="shared" si="7"/>
        <v>Average</v>
      </c>
    </row>
    <row r="72" spans="1:10" x14ac:dyDescent="0.35">
      <c r="A72" t="s">
        <v>99</v>
      </c>
      <c r="B72" s="3">
        <v>345</v>
      </c>
      <c r="C72" s="3">
        <v>602</v>
      </c>
      <c r="D72" s="2" t="str">
        <f t="shared" si="4"/>
        <v>Low Price</v>
      </c>
      <c r="E72" s="2">
        <f t="shared" si="5"/>
        <v>257</v>
      </c>
      <c r="F72" s="1">
        <v>0.43</v>
      </c>
      <c r="G72" s="1" t="str">
        <f t="shared" si="6"/>
        <v>High Discount</v>
      </c>
      <c r="H72">
        <v>6</v>
      </c>
      <c r="I72">
        <v>2.2999999999999998</v>
      </c>
      <c r="J72" t="str">
        <f t="shared" si="7"/>
        <v>Poor</v>
      </c>
    </row>
    <row r="73" spans="1:10" x14ac:dyDescent="0.35">
      <c r="A73" t="s">
        <v>100</v>
      </c>
      <c r="B73" s="3">
        <v>509</v>
      </c>
      <c r="C73" s="3">
        <v>899</v>
      </c>
      <c r="D73" s="2" t="str">
        <f t="shared" si="4"/>
        <v>Low Price</v>
      </c>
      <c r="E73" s="2">
        <f t="shared" si="5"/>
        <v>390</v>
      </c>
      <c r="F73" s="1">
        <v>0.43</v>
      </c>
      <c r="G73" s="1" t="str">
        <f t="shared" si="6"/>
        <v>High Discount</v>
      </c>
      <c r="H73">
        <v>5</v>
      </c>
      <c r="I73">
        <v>3</v>
      </c>
      <c r="J73" t="str">
        <f t="shared" si="7"/>
        <v>Average</v>
      </c>
    </row>
    <row r="74" spans="1:10" x14ac:dyDescent="0.35">
      <c r="A74" t="s">
        <v>101</v>
      </c>
      <c r="B74" s="3">
        <v>968</v>
      </c>
      <c r="C74" s="3">
        <v>1814</v>
      </c>
      <c r="D74" s="2" t="str">
        <f t="shared" si="4"/>
        <v>Low Price</v>
      </c>
      <c r="E74" s="2">
        <f t="shared" si="5"/>
        <v>846</v>
      </c>
      <c r="F74" s="1">
        <v>0.47</v>
      </c>
      <c r="G74" s="1" t="str">
        <f t="shared" si="6"/>
        <v>High Discount</v>
      </c>
      <c r="H74">
        <v>6</v>
      </c>
      <c r="I74">
        <v>2.2000000000000002</v>
      </c>
      <c r="J74" t="str">
        <f t="shared" si="7"/>
        <v>Poor</v>
      </c>
    </row>
    <row r="75" spans="1:10" x14ac:dyDescent="0.35">
      <c r="A75" t="s">
        <v>102</v>
      </c>
      <c r="B75" s="3">
        <v>1570</v>
      </c>
      <c r="C75" s="3">
        <v>2988</v>
      </c>
      <c r="D75" s="2" t="str">
        <f t="shared" si="4"/>
        <v>Low Price</v>
      </c>
      <c r="E75" s="2">
        <f t="shared" si="5"/>
        <v>1418</v>
      </c>
      <c r="F75" s="1">
        <v>0.47</v>
      </c>
      <c r="G75" s="1" t="str">
        <f t="shared" si="6"/>
        <v>High Discount</v>
      </c>
      <c r="H75">
        <v>7</v>
      </c>
      <c r="I75">
        <v>2.1</v>
      </c>
      <c r="J75" t="str">
        <f t="shared" si="7"/>
        <v>Poor</v>
      </c>
    </row>
    <row r="76" spans="1:10" x14ac:dyDescent="0.35">
      <c r="A76" t="s">
        <v>103</v>
      </c>
      <c r="B76" s="3">
        <v>790</v>
      </c>
      <c r="C76" s="3">
        <v>1485</v>
      </c>
      <c r="D76" s="2" t="str">
        <f t="shared" si="4"/>
        <v>Low Price</v>
      </c>
      <c r="E76" s="2">
        <f t="shared" si="5"/>
        <v>695</v>
      </c>
      <c r="F76" s="1">
        <v>0.47</v>
      </c>
      <c r="G76" s="1" t="str">
        <f t="shared" si="6"/>
        <v>High Discount</v>
      </c>
      <c r="H76" t="s">
        <v>38</v>
      </c>
      <c r="I76" t="s">
        <v>38</v>
      </c>
      <c r="J76" t="str">
        <f t="shared" si="7"/>
        <v>Unknown</v>
      </c>
    </row>
    <row r="77" spans="1:10" x14ac:dyDescent="0.35">
      <c r="A77" t="s">
        <v>104</v>
      </c>
      <c r="B77" s="3">
        <v>690</v>
      </c>
      <c r="C77" s="3">
        <v>1200</v>
      </c>
      <c r="D77" s="2" t="str">
        <f t="shared" si="4"/>
        <v>Low Price</v>
      </c>
      <c r="E77" s="2">
        <f t="shared" si="5"/>
        <v>510</v>
      </c>
      <c r="F77" s="1">
        <v>0.43</v>
      </c>
      <c r="G77" s="1" t="str">
        <f t="shared" si="6"/>
        <v>High Discount</v>
      </c>
      <c r="H77" t="s">
        <v>38</v>
      </c>
      <c r="I77" t="s">
        <v>38</v>
      </c>
      <c r="J77" t="str">
        <f t="shared" si="7"/>
        <v>Unknown</v>
      </c>
    </row>
    <row r="78" spans="1:10" x14ac:dyDescent="0.35">
      <c r="A78" t="s">
        <v>105</v>
      </c>
      <c r="B78" s="3">
        <v>1732</v>
      </c>
      <c r="C78" s="3">
        <v>1799</v>
      </c>
      <c r="D78" s="2" t="str">
        <f t="shared" si="4"/>
        <v>Low Price</v>
      </c>
      <c r="E78" s="2">
        <f t="shared" si="5"/>
        <v>67</v>
      </c>
      <c r="F78" s="1">
        <v>0.04</v>
      </c>
      <c r="G78" s="1" t="str">
        <f t="shared" si="6"/>
        <v>Low Discount</v>
      </c>
      <c r="H78" t="s">
        <v>38</v>
      </c>
      <c r="I78" t="s">
        <v>38</v>
      </c>
      <c r="J78" t="str">
        <f t="shared" si="7"/>
        <v>Unknown</v>
      </c>
    </row>
    <row r="79" spans="1:10" x14ac:dyDescent="0.35">
      <c r="A79" t="s">
        <v>106</v>
      </c>
      <c r="B79" s="3">
        <v>230</v>
      </c>
      <c r="C79" s="3">
        <v>450</v>
      </c>
      <c r="D79" s="2" t="str">
        <f t="shared" si="4"/>
        <v>Low Price</v>
      </c>
      <c r="E79" s="2">
        <f t="shared" si="5"/>
        <v>220</v>
      </c>
      <c r="F79" s="1">
        <v>0.49</v>
      </c>
      <c r="G79" s="1" t="str">
        <f t="shared" si="6"/>
        <v>High Discount</v>
      </c>
      <c r="H79" t="s">
        <v>38</v>
      </c>
      <c r="I79" t="s">
        <v>38</v>
      </c>
      <c r="J79" t="str">
        <f t="shared" si="7"/>
        <v>Unknown</v>
      </c>
    </row>
    <row r="80" spans="1:10" x14ac:dyDescent="0.35">
      <c r="A80" t="s">
        <v>107</v>
      </c>
      <c r="B80" s="3">
        <v>1189</v>
      </c>
      <c r="C80" s="3">
        <v>2199</v>
      </c>
      <c r="D80" s="2" t="str">
        <f t="shared" si="4"/>
        <v>Low Price</v>
      </c>
      <c r="E80" s="2">
        <f t="shared" si="5"/>
        <v>1010</v>
      </c>
      <c r="F80" s="1">
        <v>0.46</v>
      </c>
      <c r="G80" s="1" t="str">
        <f t="shared" si="6"/>
        <v>High Discount</v>
      </c>
      <c r="H80">
        <v>1</v>
      </c>
      <c r="I80">
        <v>3</v>
      </c>
      <c r="J80" t="str">
        <f t="shared" si="7"/>
        <v>Average</v>
      </c>
    </row>
    <row r="81" spans="1:10" x14ac:dyDescent="0.35">
      <c r="A81" t="s">
        <v>108</v>
      </c>
      <c r="B81" s="3">
        <v>979</v>
      </c>
      <c r="C81" s="3">
        <v>1920</v>
      </c>
      <c r="D81" s="2" t="str">
        <f t="shared" si="4"/>
        <v>Low Price</v>
      </c>
      <c r="E81" s="2">
        <f t="shared" si="5"/>
        <v>941</v>
      </c>
      <c r="F81" s="1">
        <v>0.49</v>
      </c>
      <c r="G81" s="1" t="str">
        <f t="shared" si="6"/>
        <v>High Discount</v>
      </c>
      <c r="H81">
        <v>1</v>
      </c>
      <c r="I81">
        <v>5</v>
      </c>
      <c r="J81" t="str">
        <f t="shared" si="7"/>
        <v>Excellent</v>
      </c>
    </row>
    <row r="82" spans="1:10" x14ac:dyDescent="0.35">
      <c r="A82" t="s">
        <v>109</v>
      </c>
      <c r="B82" s="3">
        <v>1460</v>
      </c>
      <c r="C82" s="3">
        <v>2290</v>
      </c>
      <c r="D82" s="2" t="str">
        <f t="shared" si="4"/>
        <v>Low Price</v>
      </c>
      <c r="E82" s="2">
        <f t="shared" si="5"/>
        <v>830</v>
      </c>
      <c r="F82" s="1">
        <v>0.36</v>
      </c>
      <c r="G82" s="1" t="str">
        <f t="shared" si="6"/>
        <v>Medium Discount</v>
      </c>
      <c r="H82" t="s">
        <v>38</v>
      </c>
      <c r="I82" t="s">
        <v>38</v>
      </c>
      <c r="J82" t="str">
        <f t="shared" si="7"/>
        <v>Unknown</v>
      </c>
    </row>
    <row r="83" spans="1:10" x14ac:dyDescent="0.35">
      <c r="A83" t="s">
        <v>110</v>
      </c>
      <c r="B83" s="3">
        <v>1666</v>
      </c>
      <c r="C83" s="3">
        <v>1699</v>
      </c>
      <c r="D83" s="2" t="str">
        <f t="shared" si="4"/>
        <v>Low Price</v>
      </c>
      <c r="E83" s="2">
        <f t="shared" si="5"/>
        <v>33</v>
      </c>
      <c r="F83" s="1">
        <v>0.02</v>
      </c>
      <c r="G83" s="1" t="str">
        <f t="shared" si="6"/>
        <v>Low Discount</v>
      </c>
      <c r="H83" t="s">
        <v>38</v>
      </c>
      <c r="I83" t="s">
        <v>38</v>
      </c>
      <c r="J83" t="str">
        <f t="shared" si="7"/>
        <v>Unknown</v>
      </c>
    </row>
    <row r="84" spans="1:10" x14ac:dyDescent="0.35">
      <c r="A84" t="s">
        <v>111</v>
      </c>
      <c r="B84" s="3">
        <v>330</v>
      </c>
      <c r="C84" s="3">
        <v>647</v>
      </c>
      <c r="D84" s="2" t="str">
        <f t="shared" si="4"/>
        <v>Low Price</v>
      </c>
      <c r="E84" s="2">
        <f t="shared" si="5"/>
        <v>317</v>
      </c>
      <c r="F84" s="1">
        <v>0.49</v>
      </c>
      <c r="G84" s="1" t="str">
        <f t="shared" si="6"/>
        <v>High Discount</v>
      </c>
      <c r="H84">
        <v>1</v>
      </c>
      <c r="I84">
        <v>4</v>
      </c>
      <c r="J84" t="str">
        <f t="shared" si="7"/>
        <v>Average</v>
      </c>
    </row>
    <row r="85" spans="1:10" x14ac:dyDescent="0.35">
      <c r="A85" t="s">
        <v>69</v>
      </c>
      <c r="B85" s="3">
        <v>176</v>
      </c>
      <c r="C85" s="3">
        <v>345</v>
      </c>
      <c r="D85" s="2" t="str">
        <f t="shared" si="4"/>
        <v>Low Price</v>
      </c>
      <c r="E85" s="2">
        <f t="shared" si="5"/>
        <v>169</v>
      </c>
      <c r="F85" s="1">
        <v>0.49</v>
      </c>
      <c r="G85" s="1" t="str">
        <f t="shared" si="6"/>
        <v>High Discount</v>
      </c>
      <c r="H85" t="s">
        <v>38</v>
      </c>
      <c r="I85" t="s">
        <v>38</v>
      </c>
      <c r="J85" t="str">
        <f t="shared" si="7"/>
        <v>Unknown</v>
      </c>
    </row>
    <row r="86" spans="1:10" x14ac:dyDescent="0.35">
      <c r="A86" t="s">
        <v>112</v>
      </c>
      <c r="B86" s="3">
        <v>1466</v>
      </c>
      <c r="C86" s="3">
        <v>1699</v>
      </c>
      <c r="D86" s="2" t="str">
        <f t="shared" si="4"/>
        <v>Low Price</v>
      </c>
      <c r="E86" s="2">
        <f t="shared" si="5"/>
        <v>233</v>
      </c>
      <c r="F86" s="1">
        <v>0.14000000000000001</v>
      </c>
      <c r="G86" s="1" t="str">
        <f t="shared" si="6"/>
        <v>Low Discount</v>
      </c>
      <c r="H86" t="s">
        <v>38</v>
      </c>
      <c r="I86" t="s">
        <v>38</v>
      </c>
      <c r="J86" t="str">
        <f t="shared" si="7"/>
        <v>Unknown</v>
      </c>
    </row>
    <row r="87" spans="1:10" x14ac:dyDescent="0.35">
      <c r="A87" t="s">
        <v>113</v>
      </c>
      <c r="B87" s="3">
        <v>274</v>
      </c>
      <c r="C87" s="3">
        <v>537</v>
      </c>
      <c r="D87" s="2" t="str">
        <f t="shared" si="4"/>
        <v>Low Price</v>
      </c>
      <c r="E87" s="2">
        <f t="shared" si="5"/>
        <v>263</v>
      </c>
      <c r="F87" s="1">
        <v>0.49</v>
      </c>
      <c r="G87" s="1" t="str">
        <f t="shared" si="6"/>
        <v>High Discount</v>
      </c>
      <c r="H87" t="s">
        <v>38</v>
      </c>
      <c r="I87" t="s">
        <v>38</v>
      </c>
      <c r="J87" t="str">
        <f t="shared" si="7"/>
        <v>Unknown</v>
      </c>
    </row>
    <row r="88" spans="1:10" x14ac:dyDescent="0.35">
      <c r="A88" t="s">
        <v>114</v>
      </c>
      <c r="B88" s="3">
        <v>799</v>
      </c>
      <c r="C88" s="3">
        <v>900</v>
      </c>
      <c r="D88" s="2" t="str">
        <f t="shared" si="4"/>
        <v>Low Price</v>
      </c>
      <c r="E88" s="2">
        <f t="shared" si="5"/>
        <v>101</v>
      </c>
      <c r="F88" s="1">
        <v>0.11</v>
      </c>
      <c r="G88" s="1" t="str">
        <f t="shared" si="6"/>
        <v>Low Discount</v>
      </c>
      <c r="H88" t="s">
        <v>38</v>
      </c>
      <c r="I88" t="s">
        <v>38</v>
      </c>
      <c r="J88" t="str">
        <f t="shared" si="7"/>
        <v>Unknown</v>
      </c>
    </row>
    <row r="89" spans="1:10" x14ac:dyDescent="0.35">
      <c r="A89" t="s">
        <v>77</v>
      </c>
      <c r="B89" s="3">
        <v>657</v>
      </c>
      <c r="C89" s="3">
        <v>1288</v>
      </c>
      <c r="D89" s="2" t="str">
        <f t="shared" si="4"/>
        <v>Low Price</v>
      </c>
      <c r="E89" s="2">
        <f t="shared" si="5"/>
        <v>631</v>
      </c>
      <c r="F89" s="1">
        <v>0.49</v>
      </c>
      <c r="G89" s="1" t="str">
        <f t="shared" si="6"/>
        <v>High Discount</v>
      </c>
      <c r="H89" t="s">
        <v>38</v>
      </c>
      <c r="I89" t="s">
        <v>38</v>
      </c>
      <c r="J89" t="str">
        <f t="shared" si="7"/>
        <v>Unknown</v>
      </c>
    </row>
    <row r="90" spans="1:10" x14ac:dyDescent="0.35">
      <c r="A90" t="s">
        <v>115</v>
      </c>
      <c r="B90" s="3">
        <v>1468</v>
      </c>
      <c r="C90" s="3">
        <v>1699</v>
      </c>
      <c r="D90" s="2" t="str">
        <f t="shared" si="4"/>
        <v>Low Price</v>
      </c>
      <c r="E90" s="2">
        <f t="shared" si="5"/>
        <v>231</v>
      </c>
      <c r="F90" s="1">
        <v>0.14000000000000001</v>
      </c>
      <c r="G90" s="1" t="str">
        <f t="shared" si="6"/>
        <v>Low Discount</v>
      </c>
      <c r="H90" t="s">
        <v>38</v>
      </c>
      <c r="I90" t="s">
        <v>38</v>
      </c>
      <c r="J90" t="str">
        <f t="shared" si="7"/>
        <v>Unknown</v>
      </c>
    </row>
    <row r="91" spans="1:10" x14ac:dyDescent="0.35">
      <c r="A91" t="s">
        <v>116</v>
      </c>
      <c r="B91" s="3">
        <v>630</v>
      </c>
      <c r="C91" s="3">
        <v>1100</v>
      </c>
      <c r="D91" s="2" t="str">
        <f t="shared" si="4"/>
        <v>Low Price</v>
      </c>
      <c r="E91" s="2">
        <f t="shared" si="5"/>
        <v>470</v>
      </c>
      <c r="F91" s="1">
        <v>0.43</v>
      </c>
      <c r="G91" s="1" t="str">
        <f t="shared" si="6"/>
        <v>High Discount</v>
      </c>
      <c r="H91" t="s">
        <v>38</v>
      </c>
      <c r="I91" t="s">
        <v>38</v>
      </c>
      <c r="J91" t="str">
        <f t="shared" si="7"/>
        <v>Unknown</v>
      </c>
    </row>
    <row r="92" spans="1:10" x14ac:dyDescent="0.35">
      <c r="A92" t="s">
        <v>117</v>
      </c>
      <c r="B92" s="3">
        <v>850</v>
      </c>
      <c r="C92" s="3">
        <v>1700</v>
      </c>
      <c r="D92" s="2" t="str">
        <f t="shared" si="4"/>
        <v>Low Price</v>
      </c>
      <c r="E92" s="2">
        <f t="shared" si="5"/>
        <v>850</v>
      </c>
      <c r="F92" s="1">
        <v>0.5</v>
      </c>
      <c r="G92" s="1" t="str">
        <f t="shared" si="6"/>
        <v>High Discount</v>
      </c>
      <c r="H92" t="s">
        <v>38</v>
      </c>
      <c r="I92" t="s">
        <v>38</v>
      </c>
      <c r="J92" t="str">
        <f t="shared" si="7"/>
        <v>Unknown</v>
      </c>
    </row>
    <row r="93" spans="1:10" x14ac:dyDescent="0.35">
      <c r="A93" t="s">
        <v>118</v>
      </c>
      <c r="B93" s="3">
        <v>1300</v>
      </c>
      <c r="C93" s="3">
        <v>2500</v>
      </c>
      <c r="D93" s="2" t="str">
        <f t="shared" si="4"/>
        <v>Low Price</v>
      </c>
      <c r="E93" s="2">
        <f t="shared" si="5"/>
        <v>1200</v>
      </c>
      <c r="F93" s="1">
        <v>0.48</v>
      </c>
      <c r="G93" s="1" t="str">
        <f t="shared" si="6"/>
        <v>High Discount</v>
      </c>
      <c r="H93" t="s">
        <v>38</v>
      </c>
      <c r="I93" t="s">
        <v>38</v>
      </c>
      <c r="J93" t="str">
        <f t="shared" si="7"/>
        <v>Unknown</v>
      </c>
    </row>
    <row r="94" spans="1:10" x14ac:dyDescent="0.35">
      <c r="A94" t="s">
        <v>119</v>
      </c>
      <c r="B94" s="3">
        <v>105</v>
      </c>
      <c r="C94" s="3">
        <v>200</v>
      </c>
      <c r="D94" s="2" t="str">
        <f t="shared" si="4"/>
        <v>Low Price</v>
      </c>
      <c r="E94" s="2">
        <f t="shared" si="5"/>
        <v>95</v>
      </c>
      <c r="F94" s="1">
        <v>0.48</v>
      </c>
      <c r="G94" s="1" t="str">
        <f t="shared" si="6"/>
        <v>High Discount</v>
      </c>
      <c r="H94" t="s">
        <v>38</v>
      </c>
      <c r="I94" t="s">
        <v>38</v>
      </c>
      <c r="J94" t="str">
        <f t="shared" si="7"/>
        <v>Unknown</v>
      </c>
    </row>
    <row r="95" spans="1:10" x14ac:dyDescent="0.35">
      <c r="A95" t="s">
        <v>120</v>
      </c>
      <c r="B95" s="3">
        <v>899</v>
      </c>
      <c r="C95" s="3">
        <v>1699</v>
      </c>
      <c r="D95" s="2" t="str">
        <f t="shared" si="4"/>
        <v>Low Price</v>
      </c>
      <c r="E95" s="2">
        <f t="shared" si="5"/>
        <v>800</v>
      </c>
      <c r="F95" s="1">
        <v>0.47</v>
      </c>
      <c r="G95" s="1" t="str">
        <f t="shared" si="6"/>
        <v>High Discount</v>
      </c>
      <c r="H95" t="s">
        <v>38</v>
      </c>
      <c r="I95" t="s">
        <v>38</v>
      </c>
      <c r="J95" t="str">
        <f t="shared" si="7"/>
        <v>Unknown</v>
      </c>
    </row>
    <row r="96" spans="1:10" x14ac:dyDescent="0.35">
      <c r="A96" t="s">
        <v>121</v>
      </c>
      <c r="B96" s="3">
        <v>1200</v>
      </c>
      <c r="C96" s="3">
        <v>2400</v>
      </c>
      <c r="D96" s="2" t="str">
        <f t="shared" si="4"/>
        <v>Low Price</v>
      </c>
      <c r="E96" s="2">
        <f t="shared" si="5"/>
        <v>1200</v>
      </c>
      <c r="F96" s="1">
        <v>0.5</v>
      </c>
      <c r="G96" s="1" t="str">
        <f t="shared" si="6"/>
        <v>High Discount</v>
      </c>
      <c r="H96" t="s">
        <v>38</v>
      </c>
      <c r="I96" t="s">
        <v>38</v>
      </c>
      <c r="J96" t="str">
        <f t="shared" si="7"/>
        <v>Unknown</v>
      </c>
    </row>
    <row r="97" spans="1:10" x14ac:dyDescent="0.35">
      <c r="A97" t="s">
        <v>122</v>
      </c>
      <c r="B97" s="3">
        <v>1526</v>
      </c>
      <c r="C97" s="3">
        <v>1660</v>
      </c>
      <c r="D97" s="2" t="str">
        <f t="shared" si="4"/>
        <v>Low Price</v>
      </c>
      <c r="E97" s="2">
        <f t="shared" si="5"/>
        <v>134</v>
      </c>
      <c r="F97" s="1">
        <v>0.08</v>
      </c>
      <c r="G97" s="1" t="str">
        <f t="shared" si="6"/>
        <v>Low Discount</v>
      </c>
      <c r="H97" t="s">
        <v>38</v>
      </c>
      <c r="I97" t="s">
        <v>38</v>
      </c>
      <c r="J97" t="str">
        <f t="shared" si="7"/>
        <v>Unknown</v>
      </c>
    </row>
    <row r="98" spans="1:10" x14ac:dyDescent="0.35">
      <c r="A98" t="s">
        <v>123</v>
      </c>
      <c r="B98" s="3">
        <v>1462</v>
      </c>
      <c r="C98" s="3">
        <v>1499</v>
      </c>
      <c r="D98" s="2" t="str">
        <f t="shared" si="4"/>
        <v>Low Price</v>
      </c>
      <c r="E98" s="2">
        <f t="shared" si="5"/>
        <v>37</v>
      </c>
      <c r="F98" s="1">
        <v>0.02</v>
      </c>
      <c r="G98" s="1" t="str">
        <f t="shared" si="6"/>
        <v>Low Discount</v>
      </c>
      <c r="H98" t="s">
        <v>38</v>
      </c>
      <c r="I98" t="s">
        <v>38</v>
      </c>
      <c r="J98" t="str">
        <f t="shared" si="7"/>
        <v>Unknown</v>
      </c>
    </row>
    <row r="99" spans="1:10" x14ac:dyDescent="0.35">
      <c r="A99" t="s">
        <v>124</v>
      </c>
      <c r="B99" s="3">
        <v>248</v>
      </c>
      <c r="C99" s="3">
        <v>486</v>
      </c>
      <c r="D99" s="2" t="str">
        <f t="shared" si="4"/>
        <v>Low Price</v>
      </c>
      <c r="E99" s="2">
        <f t="shared" si="5"/>
        <v>238</v>
      </c>
      <c r="F99" s="1">
        <v>0.49</v>
      </c>
      <c r="G99" s="1" t="str">
        <f t="shared" si="6"/>
        <v>High Discount</v>
      </c>
      <c r="H99" t="s">
        <v>38</v>
      </c>
      <c r="I99" t="s">
        <v>38</v>
      </c>
      <c r="J99" t="str">
        <f t="shared" si="7"/>
        <v>Unknown</v>
      </c>
    </row>
    <row r="100" spans="1:10" x14ac:dyDescent="0.35">
      <c r="A100" t="s">
        <v>125</v>
      </c>
      <c r="B100" s="3">
        <v>3546</v>
      </c>
      <c r="C100" s="3">
        <v>3699</v>
      </c>
      <c r="D100" s="2" t="str">
        <f t="shared" si="4"/>
        <v>High Price</v>
      </c>
      <c r="E100" s="2">
        <f t="shared" si="5"/>
        <v>153</v>
      </c>
      <c r="F100" s="1">
        <v>0.04</v>
      </c>
      <c r="G100" s="1" t="str">
        <f t="shared" si="6"/>
        <v>Low Discount</v>
      </c>
      <c r="H100" t="s">
        <v>38</v>
      </c>
      <c r="I100" t="s">
        <v>38</v>
      </c>
      <c r="J100" t="str">
        <f t="shared" si="7"/>
        <v>Unknown</v>
      </c>
    </row>
    <row r="101" spans="1:10" x14ac:dyDescent="0.35">
      <c r="A101" t="s">
        <v>126</v>
      </c>
      <c r="B101" s="3">
        <v>525</v>
      </c>
      <c r="C101" s="3">
        <v>1029</v>
      </c>
      <c r="D101" s="2" t="str">
        <f t="shared" si="4"/>
        <v>Low Price</v>
      </c>
      <c r="E101" s="2">
        <f t="shared" si="5"/>
        <v>504</v>
      </c>
      <c r="F101" s="1">
        <v>0.49</v>
      </c>
      <c r="G101" s="1" t="str">
        <f t="shared" si="6"/>
        <v>High Discount</v>
      </c>
      <c r="H101" t="s">
        <v>38</v>
      </c>
      <c r="I101" t="s">
        <v>38</v>
      </c>
      <c r="J101" t="str">
        <f t="shared" si="7"/>
        <v>Unknown</v>
      </c>
    </row>
    <row r="102" spans="1:10" x14ac:dyDescent="0.35">
      <c r="A102" t="s">
        <v>127</v>
      </c>
      <c r="B102" s="3">
        <v>1080</v>
      </c>
      <c r="C102" s="3">
        <v>1874</v>
      </c>
      <c r="D102" s="2" t="str">
        <f t="shared" si="4"/>
        <v>Low Price</v>
      </c>
      <c r="E102" s="2">
        <f t="shared" si="5"/>
        <v>794</v>
      </c>
      <c r="F102" s="1">
        <v>0.42</v>
      </c>
      <c r="G102" s="1" t="str">
        <f t="shared" si="6"/>
        <v>High Discount</v>
      </c>
      <c r="H102" t="s">
        <v>38</v>
      </c>
      <c r="I102" t="s">
        <v>38</v>
      </c>
      <c r="J102" t="str">
        <f t="shared" si="7"/>
        <v>Unknown</v>
      </c>
    </row>
    <row r="103" spans="1:10" x14ac:dyDescent="0.35">
      <c r="A103" t="s">
        <v>128</v>
      </c>
      <c r="B103" s="3">
        <v>3640</v>
      </c>
      <c r="C103" s="3">
        <v>4588</v>
      </c>
      <c r="D103" s="2" t="str">
        <f t="shared" si="4"/>
        <v>High Price</v>
      </c>
      <c r="E103" s="2">
        <f t="shared" si="5"/>
        <v>948</v>
      </c>
      <c r="F103" s="1">
        <v>0.21</v>
      </c>
      <c r="G103" s="1" t="str">
        <f t="shared" si="6"/>
        <v>Medium Discount</v>
      </c>
      <c r="H103">
        <v>1</v>
      </c>
      <c r="I103">
        <v>5</v>
      </c>
      <c r="J103" t="str">
        <f t="shared" si="7"/>
        <v>Excellent</v>
      </c>
    </row>
    <row r="104" spans="1:10" x14ac:dyDescent="0.35">
      <c r="A104" t="s">
        <v>129</v>
      </c>
      <c r="B104" s="3">
        <v>1420</v>
      </c>
      <c r="C104" s="3">
        <v>2420</v>
      </c>
      <c r="D104" s="2" t="str">
        <f t="shared" si="4"/>
        <v>Low Price</v>
      </c>
      <c r="E104" s="2">
        <f t="shared" si="5"/>
        <v>1000</v>
      </c>
      <c r="F104" s="1">
        <v>0.41</v>
      </c>
      <c r="G104" s="1" t="str">
        <f t="shared" si="6"/>
        <v>High Discount</v>
      </c>
      <c r="H104" t="s">
        <v>38</v>
      </c>
      <c r="I104" t="s">
        <v>38</v>
      </c>
      <c r="J104" t="str">
        <f t="shared" si="7"/>
        <v>Unknown</v>
      </c>
    </row>
    <row r="105" spans="1:10" x14ac:dyDescent="0.35">
      <c r="A105" t="s">
        <v>130</v>
      </c>
      <c r="B105" s="3">
        <v>1875</v>
      </c>
      <c r="C105" s="3">
        <v>1899</v>
      </c>
      <c r="D105" s="2" t="str">
        <f t="shared" si="4"/>
        <v>Low Price</v>
      </c>
      <c r="E105" s="2">
        <f t="shared" si="5"/>
        <v>24</v>
      </c>
      <c r="F105" s="1">
        <v>0.01</v>
      </c>
      <c r="G105" s="1" t="str">
        <f t="shared" si="6"/>
        <v>Low Discount</v>
      </c>
      <c r="H105" t="s">
        <v>38</v>
      </c>
      <c r="I105" t="s">
        <v>38</v>
      </c>
      <c r="J105" t="str">
        <f t="shared" si="7"/>
        <v>Unknown</v>
      </c>
    </row>
    <row r="106" spans="1:10" x14ac:dyDescent="0.35">
      <c r="A106" t="s">
        <v>131</v>
      </c>
      <c r="B106" s="3">
        <v>198</v>
      </c>
      <c r="C106" s="3">
        <v>260</v>
      </c>
      <c r="D106" s="2" t="str">
        <f t="shared" si="4"/>
        <v>Low Price</v>
      </c>
      <c r="E106" s="2">
        <f t="shared" si="5"/>
        <v>62</v>
      </c>
      <c r="F106" s="1">
        <v>0.24</v>
      </c>
      <c r="G106" s="1" t="str">
        <f t="shared" si="6"/>
        <v>Medium Discount</v>
      </c>
      <c r="H106" t="s">
        <v>38</v>
      </c>
      <c r="I106" t="s">
        <v>38</v>
      </c>
      <c r="J106" t="str">
        <f t="shared" si="7"/>
        <v>Unknown</v>
      </c>
    </row>
    <row r="107" spans="1:10" x14ac:dyDescent="0.35">
      <c r="A107" t="s">
        <v>132</v>
      </c>
      <c r="B107" s="3">
        <v>1150</v>
      </c>
      <c r="C107" s="3">
        <v>1737</v>
      </c>
      <c r="D107" s="2" t="str">
        <f t="shared" si="4"/>
        <v>Low Price</v>
      </c>
      <c r="E107" s="2">
        <f t="shared" si="5"/>
        <v>587</v>
      </c>
      <c r="F107" s="1">
        <v>0.34</v>
      </c>
      <c r="G107" s="1" t="str">
        <f t="shared" si="6"/>
        <v>Medium Discount</v>
      </c>
      <c r="H107" t="s">
        <v>38</v>
      </c>
      <c r="I107" t="s">
        <v>38</v>
      </c>
      <c r="J107" t="str">
        <f t="shared" si="7"/>
        <v>Unknown</v>
      </c>
    </row>
    <row r="108" spans="1:10" x14ac:dyDescent="0.35">
      <c r="A108" t="s">
        <v>133</v>
      </c>
      <c r="B108" s="3">
        <v>1190</v>
      </c>
      <c r="C108" s="3">
        <v>1810</v>
      </c>
      <c r="D108" s="2" t="str">
        <f t="shared" si="4"/>
        <v>Low Price</v>
      </c>
      <c r="E108" s="2">
        <f t="shared" si="5"/>
        <v>620</v>
      </c>
      <c r="F108" s="1">
        <v>0.34</v>
      </c>
      <c r="G108" s="1" t="str">
        <f t="shared" si="6"/>
        <v>Medium Discount</v>
      </c>
      <c r="H108" t="s">
        <v>38</v>
      </c>
      <c r="I108" t="s">
        <v>38</v>
      </c>
      <c r="J108" t="str">
        <f t="shared" si="7"/>
        <v>Unknown</v>
      </c>
    </row>
    <row r="109" spans="1:10" x14ac:dyDescent="0.35">
      <c r="A109" t="s">
        <v>134</v>
      </c>
      <c r="B109" s="3">
        <v>1658</v>
      </c>
      <c r="C109" s="3">
        <v>1699</v>
      </c>
      <c r="D109" s="2" t="str">
        <f t="shared" si="4"/>
        <v>Low Price</v>
      </c>
      <c r="E109" s="2">
        <f t="shared" si="5"/>
        <v>41</v>
      </c>
      <c r="F109" s="1">
        <v>0.02</v>
      </c>
      <c r="G109" s="1" t="str">
        <f t="shared" si="6"/>
        <v>Low Discount</v>
      </c>
      <c r="H109" t="s">
        <v>38</v>
      </c>
      <c r="I109" t="s">
        <v>38</v>
      </c>
      <c r="J109" t="str">
        <f t="shared" si="7"/>
        <v>Unknown</v>
      </c>
    </row>
    <row r="110" spans="1:10" x14ac:dyDescent="0.35">
      <c r="A110" t="s">
        <v>135</v>
      </c>
      <c r="B110" s="3">
        <v>1768</v>
      </c>
      <c r="C110" s="3">
        <v>1799</v>
      </c>
      <c r="D110" s="2" t="str">
        <f t="shared" si="4"/>
        <v>Low Price</v>
      </c>
      <c r="E110" s="2">
        <f t="shared" si="5"/>
        <v>31</v>
      </c>
      <c r="F110" s="1">
        <v>0.02</v>
      </c>
      <c r="G110" s="1" t="str">
        <f t="shared" si="6"/>
        <v>Low Discount</v>
      </c>
      <c r="H110" t="s">
        <v>38</v>
      </c>
      <c r="I110" t="s">
        <v>38</v>
      </c>
      <c r="J110" t="str">
        <f t="shared" si="7"/>
        <v>Unknown</v>
      </c>
    </row>
    <row r="111" spans="1:10" x14ac:dyDescent="0.35">
      <c r="A111" t="s">
        <v>136</v>
      </c>
      <c r="B111" s="3">
        <v>199</v>
      </c>
      <c r="C111" s="3">
        <v>553</v>
      </c>
      <c r="D111" s="2" t="str">
        <f t="shared" si="4"/>
        <v>Low Price</v>
      </c>
      <c r="E111" s="2">
        <f t="shared" si="5"/>
        <v>354</v>
      </c>
      <c r="F111" s="1">
        <v>0.64</v>
      </c>
      <c r="G111" s="1" t="str">
        <f t="shared" si="6"/>
        <v>High Discount</v>
      </c>
      <c r="H111" t="s">
        <v>38</v>
      </c>
      <c r="I111" t="s">
        <v>38</v>
      </c>
      <c r="J111" t="str">
        <f t="shared" si="7"/>
        <v>Unknown</v>
      </c>
    </row>
    <row r="112" spans="1:10" x14ac:dyDescent="0.35">
      <c r="A112" t="s">
        <v>137</v>
      </c>
      <c r="B112" s="3">
        <v>450</v>
      </c>
      <c r="C112" s="3">
        <v>900</v>
      </c>
      <c r="D112" s="2" t="str">
        <f t="shared" si="4"/>
        <v>Low Price</v>
      </c>
      <c r="E112" s="2">
        <f t="shared" si="5"/>
        <v>450</v>
      </c>
      <c r="F112" s="1">
        <v>0.5</v>
      </c>
      <c r="G112" s="1" t="str">
        <f t="shared" si="6"/>
        <v>High Discount</v>
      </c>
      <c r="H112">
        <v>1</v>
      </c>
      <c r="I112">
        <v>2</v>
      </c>
      <c r="J112" t="str">
        <f t="shared" si="7"/>
        <v>Poor</v>
      </c>
    </row>
    <row r="113" spans="1:10" x14ac:dyDescent="0.35">
      <c r="A113" t="s">
        <v>139</v>
      </c>
      <c r="B113" s="3">
        <v>169</v>
      </c>
      <c r="C113" s="3">
        <v>320</v>
      </c>
      <c r="D113" s="2" t="str">
        <f t="shared" si="4"/>
        <v>Low Price</v>
      </c>
      <c r="E113" s="2">
        <f t="shared" si="5"/>
        <v>151</v>
      </c>
      <c r="F113" s="1">
        <v>0.47</v>
      </c>
      <c r="G113" s="1" t="str">
        <f t="shared" si="6"/>
        <v>High Discount</v>
      </c>
      <c r="H113" t="s">
        <v>38</v>
      </c>
      <c r="I113" t="s">
        <v>38</v>
      </c>
      <c r="J113" t="str">
        <f t="shared" si="7"/>
        <v>Unknown</v>
      </c>
    </row>
    <row r="114" spans="1:10" x14ac:dyDescent="0.35">
      <c r="F114" s="1"/>
      <c r="G114" s="1"/>
    </row>
    <row r="115" spans="1:10" ht="15" thickBot="1" x14ac:dyDescent="0.4">
      <c r="A115" s="7">
        <f>COUNTA(A2:A113)</f>
        <v>112</v>
      </c>
      <c r="B115" s="8">
        <f>AVERAGE(B2:B113)</f>
        <v>1186.8928571428571</v>
      </c>
      <c r="C115" s="8">
        <f>AVERAGE(C2:C113)</f>
        <v>1811.1071428571429</v>
      </c>
      <c r="D115" s="9"/>
      <c r="E115" s="9"/>
      <c r="F115" s="10">
        <f>AVERAGE(F2:F113)</f>
        <v>0.36776785714285715</v>
      </c>
      <c r="G115" s="7"/>
      <c r="H115" s="7">
        <f>SUM(H2:H113)</f>
        <v>723</v>
      </c>
      <c r="I115" s="7">
        <f>AVERAGE(I2:I113)</f>
        <v>3.8894736842105258</v>
      </c>
    </row>
    <row r="116" spans="1:10" ht="15.5" thickTop="1" thickBot="1" x14ac:dyDescent="0.4">
      <c r="B116" s="11">
        <f>MAX(B2:B113)</f>
        <v>3750</v>
      </c>
    </row>
    <row r="117" spans="1:10" ht="15.5" thickTop="1" thickBot="1" x14ac:dyDescent="0.4">
      <c r="B117" s="11">
        <f>MIN(B2:B113)</f>
        <v>38</v>
      </c>
    </row>
    <row r="118" spans="1:10" ht="15" thickTop="1" x14ac:dyDescent="0.35"/>
    <row r="120" spans="1:10" ht="15.5" x14ac:dyDescent="0.35">
      <c r="A120" s="5" t="s">
        <v>144</v>
      </c>
    </row>
    <row r="122" spans="1:10" x14ac:dyDescent="0.35">
      <c r="A122" s="4" t="s">
        <v>145</v>
      </c>
      <c r="B122" s="12">
        <v>1186.8928571428571</v>
      </c>
    </row>
    <row r="123" spans="1:10" x14ac:dyDescent="0.35">
      <c r="A123" s="4" t="s">
        <v>146</v>
      </c>
      <c r="B123" s="12">
        <f>AVERAGE(B10:B121)</f>
        <v>1164.5317089452603</v>
      </c>
    </row>
    <row r="124" spans="1:10" x14ac:dyDescent="0.35">
      <c r="A124" s="4" t="s">
        <v>147</v>
      </c>
      <c r="B124" s="13">
        <v>0.36776785714285715</v>
      </c>
    </row>
    <row r="125" spans="1:10" x14ac:dyDescent="0.35">
      <c r="A125" s="4" t="s">
        <v>148</v>
      </c>
      <c r="B125" s="12">
        <v>3.8894736842105258</v>
      </c>
    </row>
    <row r="126" spans="1:10" x14ac:dyDescent="0.35">
      <c r="A126" s="4" t="s">
        <v>149</v>
      </c>
      <c r="B126" s="12">
        <v>112</v>
      </c>
    </row>
    <row r="127" spans="1:10" x14ac:dyDescent="0.35">
      <c r="A127" s="4" t="s">
        <v>150</v>
      </c>
      <c r="B127" s="12">
        <v>723</v>
      </c>
    </row>
    <row r="128" spans="1:10" x14ac:dyDescent="0.35">
      <c r="A128" s="4" t="s">
        <v>152</v>
      </c>
      <c r="B128" s="12">
        <v>3750</v>
      </c>
    </row>
    <row r="129" spans="1:2" x14ac:dyDescent="0.35">
      <c r="A129" s="4" t="s">
        <v>153</v>
      </c>
      <c r="B129" s="12">
        <v>38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F19E6-B40D-4CEC-A008-0CDB6FEFAAB2}">
  <dimension ref="A3:B15"/>
  <sheetViews>
    <sheetView topLeftCell="A16" workbookViewId="0">
      <selection activeCell="B25" sqref="B25"/>
    </sheetView>
  </sheetViews>
  <sheetFormatPr defaultRowHeight="14.5" x14ac:dyDescent="0.35"/>
  <cols>
    <col min="1" max="1" width="69.54296875" bestFit="1" customWidth="1"/>
    <col min="2" max="2" width="17.7265625" bestFit="1" customWidth="1"/>
  </cols>
  <sheetData>
    <row r="3" spans="1:2" x14ac:dyDescent="0.35">
      <c r="A3" s="14" t="s">
        <v>154</v>
      </c>
      <c r="B3" t="s">
        <v>167</v>
      </c>
    </row>
    <row r="4" spans="1:2" x14ac:dyDescent="0.35">
      <c r="A4" s="15" t="s">
        <v>136</v>
      </c>
      <c r="B4" s="1">
        <v>0.64</v>
      </c>
    </row>
    <row r="5" spans="1:2" x14ac:dyDescent="0.35">
      <c r="A5" s="15" t="s">
        <v>69</v>
      </c>
      <c r="B5" s="1">
        <v>0.61</v>
      </c>
    </row>
    <row r="6" spans="1:2" x14ac:dyDescent="0.35">
      <c r="A6" s="15" t="s">
        <v>83</v>
      </c>
      <c r="B6" s="1">
        <v>0.55000000000000004</v>
      </c>
    </row>
    <row r="7" spans="1:2" x14ac:dyDescent="0.35">
      <c r="A7" s="15" t="s">
        <v>20</v>
      </c>
      <c r="B7" s="1">
        <v>0.55000000000000004</v>
      </c>
    </row>
    <row r="8" spans="1:2" x14ac:dyDescent="0.35">
      <c r="A8" s="15" t="s">
        <v>75</v>
      </c>
      <c r="B8" s="1">
        <v>0.55000000000000004</v>
      </c>
    </row>
    <row r="9" spans="1:2" x14ac:dyDescent="0.35">
      <c r="A9" s="15" t="s">
        <v>81</v>
      </c>
      <c r="B9" s="1">
        <v>0.54</v>
      </c>
    </row>
    <row r="10" spans="1:2" x14ac:dyDescent="0.35">
      <c r="A10" s="15" t="s">
        <v>42</v>
      </c>
      <c r="B10" s="1">
        <v>0.54</v>
      </c>
    </row>
    <row r="11" spans="1:2" x14ac:dyDescent="0.35">
      <c r="A11" s="15" t="s">
        <v>55</v>
      </c>
      <c r="B11" s="1">
        <v>0.53</v>
      </c>
    </row>
    <row r="12" spans="1:2" x14ac:dyDescent="0.35">
      <c r="A12" s="15" t="s">
        <v>35</v>
      </c>
      <c r="B12" s="1">
        <v>0.53</v>
      </c>
    </row>
    <row r="13" spans="1:2" x14ac:dyDescent="0.35">
      <c r="A13" s="15" t="s">
        <v>87</v>
      </c>
      <c r="B13" s="1">
        <v>0.52</v>
      </c>
    </row>
    <row r="14" spans="1:2" x14ac:dyDescent="0.35">
      <c r="A14" s="15" t="s">
        <v>49</v>
      </c>
      <c r="B14" s="1">
        <v>0.52</v>
      </c>
    </row>
    <row r="15" spans="1:2" x14ac:dyDescent="0.35">
      <c r="A15" s="15" t="s">
        <v>158</v>
      </c>
      <c r="B15" s="1">
        <v>0.55272727272727262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92F52-0ED7-423E-A73E-8062942296D9}">
  <dimension ref="A3:B14"/>
  <sheetViews>
    <sheetView topLeftCell="A13" workbookViewId="0">
      <selection activeCell="B24" sqref="B24"/>
    </sheetView>
  </sheetViews>
  <sheetFormatPr defaultRowHeight="14.5" x14ac:dyDescent="0.35"/>
  <cols>
    <col min="1" max="1" width="61.453125" bestFit="1" customWidth="1"/>
    <col min="2" max="2" width="16.1796875" bestFit="1" customWidth="1"/>
  </cols>
  <sheetData>
    <row r="3" spans="1:2" x14ac:dyDescent="0.35">
      <c r="A3" s="14" t="s">
        <v>154</v>
      </c>
      <c r="B3" t="s">
        <v>159</v>
      </c>
    </row>
    <row r="4" spans="1:2" x14ac:dyDescent="0.35">
      <c r="A4" s="15" t="s">
        <v>85</v>
      </c>
      <c r="B4" s="17">
        <v>69</v>
      </c>
    </row>
    <row r="5" spans="1:2" x14ac:dyDescent="0.35">
      <c r="A5" s="15" t="s">
        <v>18</v>
      </c>
      <c r="B5" s="17">
        <v>55</v>
      </c>
    </row>
    <row r="6" spans="1:2" x14ac:dyDescent="0.35">
      <c r="A6" s="15" t="s">
        <v>44</v>
      </c>
      <c r="B6" s="17">
        <v>49</v>
      </c>
    </row>
    <row r="7" spans="1:2" x14ac:dyDescent="0.35">
      <c r="A7" s="15" t="s">
        <v>34</v>
      </c>
      <c r="B7" s="17">
        <v>44</v>
      </c>
    </row>
    <row r="8" spans="1:2" x14ac:dyDescent="0.35">
      <c r="A8" s="15" t="s">
        <v>24</v>
      </c>
      <c r="B8" s="17">
        <v>39</v>
      </c>
    </row>
    <row r="9" spans="1:2" x14ac:dyDescent="0.35">
      <c r="A9" s="15" t="s">
        <v>56</v>
      </c>
      <c r="B9" s="17">
        <v>36</v>
      </c>
    </row>
    <row r="10" spans="1:2" x14ac:dyDescent="0.35">
      <c r="A10" s="15" t="s">
        <v>53</v>
      </c>
      <c r="B10" s="17">
        <v>32</v>
      </c>
    </row>
    <row r="11" spans="1:2" x14ac:dyDescent="0.35">
      <c r="A11" s="15" t="s">
        <v>10</v>
      </c>
      <c r="B11" s="17">
        <v>24</v>
      </c>
    </row>
    <row r="12" spans="1:2" x14ac:dyDescent="0.35">
      <c r="A12" s="15" t="s">
        <v>52</v>
      </c>
      <c r="B12" s="17">
        <v>20</v>
      </c>
    </row>
    <row r="13" spans="1:2" x14ac:dyDescent="0.35">
      <c r="A13" s="15" t="s">
        <v>47</v>
      </c>
      <c r="B13" s="17">
        <v>20</v>
      </c>
    </row>
    <row r="14" spans="1:2" x14ac:dyDescent="0.35">
      <c r="A14" s="15" t="s">
        <v>158</v>
      </c>
      <c r="B14" s="17">
        <v>38.799999999999997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E097F-C4E0-45C2-AD0D-6E16FBF052E3}">
  <dimension ref="A3:B14"/>
  <sheetViews>
    <sheetView topLeftCell="A10" workbookViewId="0">
      <selection activeCell="C21" sqref="C21"/>
    </sheetView>
  </sheetViews>
  <sheetFormatPr defaultRowHeight="14.5" x14ac:dyDescent="0.35"/>
  <cols>
    <col min="1" max="1" width="64.453125" bestFit="1" customWidth="1"/>
    <col min="2" max="2" width="15.54296875" bestFit="1" customWidth="1"/>
  </cols>
  <sheetData>
    <row r="3" spans="1:2" x14ac:dyDescent="0.35">
      <c r="A3" s="14" t="s">
        <v>154</v>
      </c>
      <c r="B3" t="s">
        <v>163</v>
      </c>
    </row>
    <row r="4" spans="1:2" x14ac:dyDescent="0.35">
      <c r="A4" s="15" t="s">
        <v>55</v>
      </c>
      <c r="B4" s="17">
        <v>5</v>
      </c>
    </row>
    <row r="5" spans="1:2" x14ac:dyDescent="0.35">
      <c r="A5" s="15" t="s">
        <v>32</v>
      </c>
      <c r="B5" s="17">
        <v>5</v>
      </c>
    </row>
    <row r="6" spans="1:2" x14ac:dyDescent="0.35">
      <c r="A6" s="15" t="s">
        <v>128</v>
      </c>
      <c r="B6" s="17">
        <v>5</v>
      </c>
    </row>
    <row r="7" spans="1:2" x14ac:dyDescent="0.35">
      <c r="A7" s="15" t="s">
        <v>29</v>
      </c>
      <c r="B7" s="17">
        <v>5</v>
      </c>
    </row>
    <row r="8" spans="1:2" x14ac:dyDescent="0.35">
      <c r="A8" s="15" t="s">
        <v>31</v>
      </c>
      <c r="B8" s="17">
        <v>5</v>
      </c>
    </row>
    <row r="9" spans="1:2" x14ac:dyDescent="0.35">
      <c r="A9" s="15" t="s">
        <v>108</v>
      </c>
      <c r="B9" s="17">
        <v>5</v>
      </c>
    </row>
    <row r="10" spans="1:2" x14ac:dyDescent="0.35">
      <c r="A10" s="15" t="s">
        <v>54</v>
      </c>
      <c r="B10" s="17">
        <v>5</v>
      </c>
    </row>
    <row r="11" spans="1:2" x14ac:dyDescent="0.35">
      <c r="A11" s="15" t="s">
        <v>20</v>
      </c>
      <c r="B11" s="17">
        <v>4.8</v>
      </c>
    </row>
    <row r="12" spans="1:2" x14ac:dyDescent="0.35">
      <c r="A12" s="15" t="s">
        <v>14</v>
      </c>
      <c r="B12" s="17">
        <v>4.8</v>
      </c>
    </row>
    <row r="13" spans="1:2" x14ac:dyDescent="0.35">
      <c r="A13" s="15" t="s">
        <v>25</v>
      </c>
      <c r="B13" s="17">
        <v>4.8</v>
      </c>
    </row>
    <row r="14" spans="1:2" x14ac:dyDescent="0.35">
      <c r="A14" s="15" t="s">
        <v>158</v>
      </c>
      <c r="B14" s="17">
        <v>4.9399999999999995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6F91C-121C-47EF-9BE9-A6B86947F47E}">
  <dimension ref="A1:C114"/>
  <sheetViews>
    <sheetView workbookViewId="0">
      <selection activeCell="AE46" sqref="AE46"/>
    </sheetView>
  </sheetViews>
  <sheetFormatPr defaultRowHeight="14.5" x14ac:dyDescent="0.35"/>
  <cols>
    <col min="1" max="1" width="89.1796875" bestFit="1" customWidth="1"/>
    <col min="2" max="2" width="15.54296875" bestFit="1" customWidth="1"/>
    <col min="3" max="3" width="17.7265625" bestFit="1" customWidth="1"/>
  </cols>
  <sheetData>
    <row r="1" spans="1:3" x14ac:dyDescent="0.35">
      <c r="A1" s="14" t="s">
        <v>141</v>
      </c>
      <c r="B1" t="s">
        <v>168</v>
      </c>
    </row>
    <row r="2" spans="1:3" x14ac:dyDescent="0.35">
      <c r="A2" s="14" t="s">
        <v>143</v>
      </c>
      <c r="B2" t="s">
        <v>168</v>
      </c>
    </row>
    <row r="4" spans="1:3" x14ac:dyDescent="0.35">
      <c r="A4" s="14" t="s">
        <v>154</v>
      </c>
      <c r="B4" t="s">
        <v>163</v>
      </c>
      <c r="C4" t="s">
        <v>167</v>
      </c>
    </row>
    <row r="5" spans="1:3" x14ac:dyDescent="0.35">
      <c r="A5" s="15" t="s">
        <v>137</v>
      </c>
      <c r="B5" s="17">
        <v>2</v>
      </c>
      <c r="C5" s="1">
        <v>0.5</v>
      </c>
    </row>
    <row r="6" spans="1:3" x14ac:dyDescent="0.35">
      <c r="A6" s="15" t="s">
        <v>102</v>
      </c>
      <c r="B6" s="17">
        <v>2.1</v>
      </c>
      <c r="C6" s="1">
        <v>0.47</v>
      </c>
    </row>
    <row r="7" spans="1:3" x14ac:dyDescent="0.35">
      <c r="A7" s="15" t="s">
        <v>83</v>
      </c>
      <c r="B7" s="17">
        <v>2.1</v>
      </c>
      <c r="C7" s="1">
        <v>0.55000000000000004</v>
      </c>
    </row>
    <row r="8" spans="1:3" x14ac:dyDescent="0.35">
      <c r="A8" s="15" t="s">
        <v>101</v>
      </c>
      <c r="B8" s="17">
        <v>2.2000000000000002</v>
      </c>
      <c r="C8" s="1">
        <v>0.47</v>
      </c>
    </row>
    <row r="9" spans="1:3" x14ac:dyDescent="0.35">
      <c r="A9" s="15" t="s">
        <v>91</v>
      </c>
      <c r="B9" s="17">
        <v>2.2000000000000002</v>
      </c>
      <c r="C9" s="1">
        <v>0.45</v>
      </c>
    </row>
    <row r="10" spans="1:3" x14ac:dyDescent="0.35">
      <c r="A10" s="15" t="s">
        <v>93</v>
      </c>
      <c r="B10" s="17">
        <v>2.2999999999999998</v>
      </c>
      <c r="C10" s="1">
        <v>0.5</v>
      </c>
    </row>
    <row r="11" spans="1:3" x14ac:dyDescent="0.35">
      <c r="A11" s="15" t="s">
        <v>99</v>
      </c>
      <c r="B11" s="17">
        <v>2.2999999999999998</v>
      </c>
      <c r="C11" s="1">
        <v>0.43</v>
      </c>
    </row>
    <row r="12" spans="1:3" x14ac:dyDescent="0.35">
      <c r="A12" s="15" t="s">
        <v>79</v>
      </c>
      <c r="B12" s="17">
        <v>2.5</v>
      </c>
      <c r="C12" s="1">
        <v>0.13</v>
      </c>
    </row>
    <row r="13" spans="1:3" x14ac:dyDescent="0.35">
      <c r="A13" s="15" t="s">
        <v>96</v>
      </c>
      <c r="B13" s="17">
        <v>2.6</v>
      </c>
      <c r="C13" s="1">
        <v>0.45</v>
      </c>
    </row>
    <row r="14" spans="1:3" x14ac:dyDescent="0.35">
      <c r="A14" s="15" t="s">
        <v>87</v>
      </c>
      <c r="B14" s="17">
        <v>2.7</v>
      </c>
      <c r="C14" s="1">
        <v>0.52</v>
      </c>
    </row>
    <row r="15" spans="1:3" x14ac:dyDescent="0.35">
      <c r="A15" s="15" t="s">
        <v>85</v>
      </c>
      <c r="B15" s="17">
        <v>2.8</v>
      </c>
      <c r="C15" s="1">
        <v>0.49</v>
      </c>
    </row>
    <row r="16" spans="1:3" x14ac:dyDescent="0.35">
      <c r="A16" s="15" t="s">
        <v>89</v>
      </c>
      <c r="B16" s="17">
        <v>2.9</v>
      </c>
      <c r="C16" s="1">
        <v>0.22</v>
      </c>
    </row>
    <row r="17" spans="1:3" x14ac:dyDescent="0.35">
      <c r="A17" s="15" t="s">
        <v>100</v>
      </c>
      <c r="B17" s="17">
        <v>3</v>
      </c>
      <c r="C17" s="1">
        <v>0.43</v>
      </c>
    </row>
    <row r="18" spans="1:3" x14ac:dyDescent="0.35">
      <c r="A18" s="15" t="s">
        <v>95</v>
      </c>
      <c r="B18" s="17">
        <v>3</v>
      </c>
      <c r="C18" s="1">
        <v>0.39</v>
      </c>
    </row>
    <row r="19" spans="1:3" x14ac:dyDescent="0.35">
      <c r="A19" s="15" t="s">
        <v>81</v>
      </c>
      <c r="B19" s="17">
        <v>3</v>
      </c>
      <c r="C19" s="1">
        <v>0.54</v>
      </c>
    </row>
    <row r="20" spans="1:3" x14ac:dyDescent="0.35">
      <c r="A20" s="15" t="s">
        <v>107</v>
      </c>
      <c r="B20" s="17">
        <v>3</v>
      </c>
      <c r="C20" s="1">
        <v>0.46</v>
      </c>
    </row>
    <row r="21" spans="1:3" x14ac:dyDescent="0.35">
      <c r="A21" s="15" t="s">
        <v>98</v>
      </c>
      <c r="B21" s="17">
        <v>3</v>
      </c>
      <c r="C21" s="1">
        <v>0.28999999999999998</v>
      </c>
    </row>
    <row r="22" spans="1:3" x14ac:dyDescent="0.35">
      <c r="A22" s="15" t="s">
        <v>35</v>
      </c>
      <c r="B22" s="17">
        <v>3.3</v>
      </c>
      <c r="C22" s="1">
        <v>0.53</v>
      </c>
    </row>
    <row r="23" spans="1:3" x14ac:dyDescent="0.35">
      <c r="A23" s="15" t="s">
        <v>21</v>
      </c>
      <c r="B23" s="17">
        <v>3.8</v>
      </c>
      <c r="C23" s="1">
        <v>0.45</v>
      </c>
    </row>
    <row r="24" spans="1:3" x14ac:dyDescent="0.35">
      <c r="A24" s="15" t="s">
        <v>46</v>
      </c>
      <c r="B24" s="17">
        <v>3.8</v>
      </c>
      <c r="C24" s="1">
        <v>0.32</v>
      </c>
    </row>
    <row r="25" spans="1:3" x14ac:dyDescent="0.35">
      <c r="A25" s="15" t="s">
        <v>45</v>
      </c>
      <c r="B25" s="17">
        <v>3.8</v>
      </c>
      <c r="C25" s="1">
        <v>0.18</v>
      </c>
    </row>
    <row r="26" spans="1:3" x14ac:dyDescent="0.35">
      <c r="A26" s="15" t="s">
        <v>39</v>
      </c>
      <c r="B26" s="17">
        <v>4</v>
      </c>
      <c r="C26" s="1">
        <v>0.35</v>
      </c>
    </row>
    <row r="27" spans="1:3" x14ac:dyDescent="0.35">
      <c r="A27" s="15" t="s">
        <v>19</v>
      </c>
      <c r="B27" s="17">
        <v>4</v>
      </c>
      <c r="C27" s="1">
        <v>0.37</v>
      </c>
    </row>
    <row r="28" spans="1:3" x14ac:dyDescent="0.35">
      <c r="A28" s="15" t="s">
        <v>16</v>
      </c>
      <c r="B28" s="17">
        <v>4</v>
      </c>
      <c r="C28" s="1">
        <v>0.09</v>
      </c>
    </row>
    <row r="29" spans="1:3" x14ac:dyDescent="0.35">
      <c r="A29" s="15" t="s">
        <v>111</v>
      </c>
      <c r="B29" s="17">
        <v>4</v>
      </c>
      <c r="C29" s="1">
        <v>0.49</v>
      </c>
    </row>
    <row r="30" spans="1:3" x14ac:dyDescent="0.35">
      <c r="A30" s="15" t="s">
        <v>47</v>
      </c>
      <c r="B30" s="17">
        <v>4.0999999999999996</v>
      </c>
      <c r="C30" s="1">
        <v>0.3</v>
      </c>
    </row>
    <row r="31" spans="1:3" x14ac:dyDescent="0.35">
      <c r="A31" s="15" t="s">
        <v>23</v>
      </c>
      <c r="B31" s="17">
        <v>4.0999999999999996</v>
      </c>
      <c r="C31" s="1">
        <v>0.2</v>
      </c>
    </row>
    <row r="32" spans="1:3" x14ac:dyDescent="0.35">
      <c r="A32" s="15" t="s">
        <v>8</v>
      </c>
      <c r="B32" s="17">
        <v>4.0999999999999996</v>
      </c>
      <c r="C32" s="1">
        <v>0.47</v>
      </c>
    </row>
    <row r="33" spans="1:3" x14ac:dyDescent="0.35">
      <c r="A33" s="15" t="s">
        <v>27</v>
      </c>
      <c r="B33" s="17">
        <v>4.2</v>
      </c>
      <c r="C33" s="1">
        <v>0.33</v>
      </c>
    </row>
    <row r="34" spans="1:3" x14ac:dyDescent="0.35">
      <c r="A34" s="15" t="s">
        <v>42</v>
      </c>
      <c r="B34" s="17">
        <v>4.3</v>
      </c>
      <c r="C34" s="1">
        <v>0.54</v>
      </c>
    </row>
    <row r="35" spans="1:3" x14ac:dyDescent="0.35">
      <c r="A35" s="15" t="s">
        <v>51</v>
      </c>
      <c r="B35" s="17">
        <v>4.3</v>
      </c>
      <c r="C35" s="1">
        <v>0.48</v>
      </c>
    </row>
    <row r="36" spans="1:3" x14ac:dyDescent="0.35">
      <c r="A36" s="15" t="s">
        <v>49</v>
      </c>
      <c r="B36" s="17">
        <v>4.3</v>
      </c>
      <c r="C36" s="1">
        <v>0.52</v>
      </c>
    </row>
    <row r="37" spans="1:3" x14ac:dyDescent="0.35">
      <c r="A37" s="15" t="s">
        <v>56</v>
      </c>
      <c r="B37" s="17">
        <v>4.3</v>
      </c>
      <c r="C37" s="1">
        <v>0.41</v>
      </c>
    </row>
    <row r="38" spans="1:3" x14ac:dyDescent="0.35">
      <c r="A38" s="15" t="s">
        <v>40</v>
      </c>
      <c r="B38" s="17">
        <v>4.4000000000000004</v>
      </c>
      <c r="C38" s="1">
        <v>0.23</v>
      </c>
    </row>
    <row r="39" spans="1:3" x14ac:dyDescent="0.35">
      <c r="A39" s="15" t="s">
        <v>57</v>
      </c>
      <c r="B39" s="17">
        <v>4.5</v>
      </c>
      <c r="C39" s="1">
        <v>0.38</v>
      </c>
    </row>
    <row r="40" spans="1:3" x14ac:dyDescent="0.35">
      <c r="A40" s="15" t="s">
        <v>26</v>
      </c>
      <c r="B40" s="17">
        <v>4.5</v>
      </c>
      <c r="C40" s="1">
        <v>0.42</v>
      </c>
    </row>
    <row r="41" spans="1:3" x14ac:dyDescent="0.35">
      <c r="A41" s="15" t="s">
        <v>151</v>
      </c>
      <c r="B41" s="17">
        <v>4.5</v>
      </c>
      <c r="C41" s="1">
        <v>0.38</v>
      </c>
    </row>
    <row r="42" spans="1:3" x14ac:dyDescent="0.35">
      <c r="A42" s="15" t="s">
        <v>53</v>
      </c>
      <c r="B42" s="17">
        <v>4.5</v>
      </c>
      <c r="C42" s="1">
        <v>0.27</v>
      </c>
    </row>
    <row r="43" spans="1:3" x14ac:dyDescent="0.35">
      <c r="A43" s="15" t="s">
        <v>44</v>
      </c>
      <c r="B43" s="17">
        <v>4.5999999999999996</v>
      </c>
      <c r="C43" s="1">
        <v>0.35</v>
      </c>
    </row>
    <row r="44" spans="1:3" x14ac:dyDescent="0.35">
      <c r="A44" s="15" t="s">
        <v>34</v>
      </c>
      <c r="B44" s="17">
        <v>4.5999999999999996</v>
      </c>
      <c r="C44" s="1">
        <v>0.49</v>
      </c>
    </row>
    <row r="45" spans="1:3" x14ac:dyDescent="0.35">
      <c r="A45" s="15" t="s">
        <v>33</v>
      </c>
      <c r="B45" s="17">
        <v>4.5999999999999996</v>
      </c>
      <c r="C45" s="1">
        <v>0.19</v>
      </c>
    </row>
    <row r="46" spans="1:3" x14ac:dyDescent="0.35">
      <c r="A46" s="15" t="s">
        <v>10</v>
      </c>
      <c r="B46" s="17">
        <v>4.5999999999999996</v>
      </c>
      <c r="C46" s="1">
        <v>0.25</v>
      </c>
    </row>
    <row r="47" spans="1:3" x14ac:dyDescent="0.35">
      <c r="A47" s="15" t="s">
        <v>18</v>
      </c>
      <c r="B47" s="17">
        <v>4.5999999999999996</v>
      </c>
      <c r="C47" s="1">
        <v>0.24</v>
      </c>
    </row>
    <row r="48" spans="1:3" x14ac:dyDescent="0.35">
      <c r="A48" s="15" t="s">
        <v>52</v>
      </c>
      <c r="B48" s="17">
        <v>4.7</v>
      </c>
      <c r="C48" s="1">
        <v>0.27</v>
      </c>
    </row>
    <row r="49" spans="1:3" x14ac:dyDescent="0.35">
      <c r="A49" s="15" t="s">
        <v>50</v>
      </c>
      <c r="B49" s="17">
        <v>4.7</v>
      </c>
      <c r="C49" s="1">
        <v>0.34</v>
      </c>
    </row>
    <row r="50" spans="1:3" x14ac:dyDescent="0.35">
      <c r="A50" s="15" t="s">
        <v>12</v>
      </c>
      <c r="B50" s="17">
        <v>4.7</v>
      </c>
      <c r="C50" s="1">
        <v>0.37</v>
      </c>
    </row>
    <row r="51" spans="1:3" x14ac:dyDescent="0.35">
      <c r="A51" s="15" t="s">
        <v>24</v>
      </c>
      <c r="B51" s="17">
        <v>4.7</v>
      </c>
      <c r="C51" s="1">
        <v>0.34</v>
      </c>
    </row>
    <row r="52" spans="1:3" x14ac:dyDescent="0.35">
      <c r="A52" s="15" t="s">
        <v>20</v>
      </c>
      <c r="B52" s="17">
        <v>4.8</v>
      </c>
      <c r="C52" s="1">
        <v>0.55000000000000004</v>
      </c>
    </row>
    <row r="53" spans="1:3" x14ac:dyDescent="0.35">
      <c r="A53" s="15" t="s">
        <v>25</v>
      </c>
      <c r="B53" s="17">
        <v>4.8</v>
      </c>
      <c r="C53" s="1">
        <v>0.47</v>
      </c>
    </row>
    <row r="54" spans="1:3" x14ac:dyDescent="0.35">
      <c r="A54" s="15" t="s">
        <v>14</v>
      </c>
      <c r="B54" s="17">
        <v>4.8</v>
      </c>
      <c r="C54" s="1">
        <v>0.26</v>
      </c>
    </row>
    <row r="55" spans="1:3" x14ac:dyDescent="0.35">
      <c r="A55" s="15" t="s">
        <v>31</v>
      </c>
      <c r="B55" s="17">
        <v>5</v>
      </c>
      <c r="C55" s="1">
        <v>0.46</v>
      </c>
    </row>
    <row r="56" spans="1:3" x14ac:dyDescent="0.35">
      <c r="A56" s="15" t="s">
        <v>54</v>
      </c>
      <c r="B56" s="17">
        <v>5</v>
      </c>
      <c r="C56" s="1">
        <v>0.4</v>
      </c>
    </row>
    <row r="57" spans="1:3" x14ac:dyDescent="0.35">
      <c r="A57" s="15" t="s">
        <v>55</v>
      </c>
      <c r="B57" s="17">
        <v>5</v>
      </c>
      <c r="C57" s="1">
        <v>0.53</v>
      </c>
    </row>
    <row r="58" spans="1:3" x14ac:dyDescent="0.35">
      <c r="A58" s="15" t="s">
        <v>29</v>
      </c>
      <c r="B58" s="17">
        <v>5</v>
      </c>
      <c r="C58" s="1">
        <v>0.51</v>
      </c>
    </row>
    <row r="59" spans="1:3" x14ac:dyDescent="0.35">
      <c r="A59" s="15" t="s">
        <v>32</v>
      </c>
      <c r="B59" s="17">
        <v>5</v>
      </c>
      <c r="C59" s="1">
        <v>0.49</v>
      </c>
    </row>
    <row r="60" spans="1:3" x14ac:dyDescent="0.35">
      <c r="A60" s="15" t="s">
        <v>128</v>
      </c>
      <c r="B60" s="17">
        <v>5</v>
      </c>
      <c r="C60" s="1">
        <v>0.21</v>
      </c>
    </row>
    <row r="61" spans="1:3" x14ac:dyDescent="0.35">
      <c r="A61" s="15" t="s">
        <v>108</v>
      </c>
      <c r="B61" s="17">
        <v>5</v>
      </c>
      <c r="C61" s="1">
        <v>0.49</v>
      </c>
    </row>
    <row r="62" spans="1:3" x14ac:dyDescent="0.35">
      <c r="A62" s="15" t="s">
        <v>105</v>
      </c>
      <c r="B62" s="17" t="e">
        <v>#DIV/0!</v>
      </c>
      <c r="C62" s="1">
        <v>0.04</v>
      </c>
    </row>
    <row r="63" spans="1:3" x14ac:dyDescent="0.35">
      <c r="A63" s="15" t="s">
        <v>73</v>
      </c>
      <c r="B63" s="17" t="e">
        <v>#DIV/0!</v>
      </c>
      <c r="C63" s="1">
        <v>0.03</v>
      </c>
    </row>
    <row r="64" spans="1:3" x14ac:dyDescent="0.35">
      <c r="A64" s="15" t="s">
        <v>110</v>
      </c>
      <c r="B64" s="17" t="e">
        <v>#DIV/0!</v>
      </c>
      <c r="C64" s="1">
        <v>0.02</v>
      </c>
    </row>
    <row r="65" spans="1:3" x14ac:dyDescent="0.35">
      <c r="A65" s="15" t="s">
        <v>67</v>
      </c>
      <c r="B65" s="17" t="e">
        <v>#DIV/0!</v>
      </c>
      <c r="C65" s="1">
        <v>0.49</v>
      </c>
    </row>
    <row r="66" spans="1:3" x14ac:dyDescent="0.35">
      <c r="A66" s="15" t="s">
        <v>78</v>
      </c>
      <c r="B66" s="17" t="e">
        <v>#DIV/0!</v>
      </c>
      <c r="C66" s="1">
        <v>0.27</v>
      </c>
    </row>
    <row r="67" spans="1:3" x14ac:dyDescent="0.35">
      <c r="A67" s="15" t="s">
        <v>112</v>
      </c>
      <c r="B67" s="17" t="e">
        <v>#DIV/0!</v>
      </c>
      <c r="C67" s="1">
        <v>0.14000000000000001</v>
      </c>
    </row>
    <row r="68" spans="1:3" x14ac:dyDescent="0.35">
      <c r="A68" s="15" t="s">
        <v>120</v>
      </c>
      <c r="B68" s="17" t="e">
        <v>#DIV/0!</v>
      </c>
      <c r="C68" s="1">
        <v>0.47</v>
      </c>
    </row>
    <row r="69" spans="1:3" x14ac:dyDescent="0.35">
      <c r="A69" s="15" t="s">
        <v>114</v>
      </c>
      <c r="B69" s="17" t="e">
        <v>#DIV/0!</v>
      </c>
      <c r="C69" s="1">
        <v>0.11</v>
      </c>
    </row>
    <row r="70" spans="1:3" x14ac:dyDescent="0.35">
      <c r="A70" s="15" t="s">
        <v>106</v>
      </c>
      <c r="B70" s="17" t="e">
        <v>#DIV/0!</v>
      </c>
      <c r="C70" s="1">
        <v>0.49</v>
      </c>
    </row>
    <row r="71" spans="1:3" x14ac:dyDescent="0.35">
      <c r="A71" s="15" t="s">
        <v>113</v>
      </c>
      <c r="B71" s="17" t="e">
        <v>#DIV/0!</v>
      </c>
      <c r="C71" s="1">
        <v>0.49</v>
      </c>
    </row>
    <row r="72" spans="1:3" x14ac:dyDescent="0.35">
      <c r="A72" s="15" t="s">
        <v>127</v>
      </c>
      <c r="B72" s="17" t="e">
        <v>#DIV/0!</v>
      </c>
      <c r="C72" s="1">
        <v>0.42</v>
      </c>
    </row>
    <row r="73" spans="1:3" x14ac:dyDescent="0.35">
      <c r="A73" s="15" t="s">
        <v>71</v>
      </c>
      <c r="B73" s="17" t="e">
        <v>#DIV/0!</v>
      </c>
      <c r="C73" s="1">
        <v>0.02</v>
      </c>
    </row>
    <row r="74" spans="1:3" x14ac:dyDescent="0.35">
      <c r="A74" s="15" t="s">
        <v>130</v>
      </c>
      <c r="B74" s="17" t="e">
        <v>#DIV/0!</v>
      </c>
      <c r="C74" s="1">
        <v>0.01</v>
      </c>
    </row>
    <row r="75" spans="1:3" x14ac:dyDescent="0.35">
      <c r="A75" s="15" t="s">
        <v>72</v>
      </c>
      <c r="B75" s="17" t="e">
        <v>#DIV/0!</v>
      </c>
      <c r="C75" s="1">
        <v>0.22</v>
      </c>
    </row>
    <row r="76" spans="1:3" x14ac:dyDescent="0.35">
      <c r="A76" s="15" t="s">
        <v>124</v>
      </c>
      <c r="B76" s="17" t="e">
        <v>#DIV/0!</v>
      </c>
      <c r="C76" s="1">
        <v>0.49</v>
      </c>
    </row>
    <row r="77" spans="1:3" x14ac:dyDescent="0.35">
      <c r="A77" s="15" t="s">
        <v>133</v>
      </c>
      <c r="B77" s="17" t="e">
        <v>#DIV/0!</v>
      </c>
      <c r="C77" s="1">
        <v>0.34</v>
      </c>
    </row>
    <row r="78" spans="1:3" x14ac:dyDescent="0.35">
      <c r="A78" s="15" t="s">
        <v>121</v>
      </c>
      <c r="B78" s="17" t="e">
        <v>#DIV/0!</v>
      </c>
      <c r="C78" s="1">
        <v>0.5</v>
      </c>
    </row>
    <row r="79" spans="1:3" x14ac:dyDescent="0.35">
      <c r="A79" s="15" t="s">
        <v>65</v>
      </c>
      <c r="B79" s="17" t="e">
        <v>#DIV/0!</v>
      </c>
      <c r="C79" s="1">
        <v>0.5</v>
      </c>
    </row>
    <row r="80" spans="1:3" x14ac:dyDescent="0.35">
      <c r="A80" s="15" t="s">
        <v>132</v>
      </c>
      <c r="B80" s="17" t="e">
        <v>#DIV/0!</v>
      </c>
      <c r="C80" s="1">
        <v>0.34</v>
      </c>
    </row>
    <row r="81" spans="1:3" x14ac:dyDescent="0.35">
      <c r="A81" s="15" t="s">
        <v>123</v>
      </c>
      <c r="B81" s="17" t="e">
        <v>#DIV/0!</v>
      </c>
      <c r="C81" s="1">
        <v>0.02</v>
      </c>
    </row>
    <row r="82" spans="1:3" x14ac:dyDescent="0.35">
      <c r="A82" s="15" t="s">
        <v>61</v>
      </c>
      <c r="B82" s="17" t="e">
        <v>#DIV/0!</v>
      </c>
      <c r="C82" s="1">
        <v>0.49</v>
      </c>
    </row>
    <row r="83" spans="1:3" x14ac:dyDescent="0.35">
      <c r="A83" s="15" t="s">
        <v>76</v>
      </c>
      <c r="B83" s="17" t="e">
        <v>#DIV/0!</v>
      </c>
      <c r="C83" s="1">
        <v>0.48</v>
      </c>
    </row>
    <row r="84" spans="1:3" x14ac:dyDescent="0.35">
      <c r="A84" s="15" t="s">
        <v>125</v>
      </c>
      <c r="B84" s="17" t="e">
        <v>#DIV/0!</v>
      </c>
      <c r="C84" s="1">
        <v>0.04</v>
      </c>
    </row>
    <row r="85" spans="1:3" x14ac:dyDescent="0.35">
      <c r="A85" s="15" t="s">
        <v>118</v>
      </c>
      <c r="B85" s="17" t="e">
        <v>#DIV/0!</v>
      </c>
      <c r="C85" s="1">
        <v>0.48</v>
      </c>
    </row>
    <row r="86" spans="1:3" x14ac:dyDescent="0.35">
      <c r="A86" s="15" t="s">
        <v>70</v>
      </c>
      <c r="B86" s="17" t="e">
        <v>#DIV/0!</v>
      </c>
      <c r="C86" s="1">
        <v>0.5</v>
      </c>
    </row>
    <row r="87" spans="1:3" x14ac:dyDescent="0.35">
      <c r="A87" s="15" t="s">
        <v>37</v>
      </c>
      <c r="B87" s="17" t="e">
        <v>#DIV/0!</v>
      </c>
      <c r="C87" s="1">
        <v>0.42</v>
      </c>
    </row>
    <row r="88" spans="1:3" x14ac:dyDescent="0.35">
      <c r="A88" s="15" t="s">
        <v>48</v>
      </c>
      <c r="B88" s="17" t="e">
        <v>#DIV/0!</v>
      </c>
      <c r="C88" s="1">
        <v>0.46</v>
      </c>
    </row>
    <row r="89" spans="1:3" x14ac:dyDescent="0.35">
      <c r="A89" s="15" t="s">
        <v>119</v>
      </c>
      <c r="B89" s="17" t="e">
        <v>#DIV/0!</v>
      </c>
      <c r="C89" s="1">
        <v>0.48</v>
      </c>
    </row>
    <row r="90" spans="1:3" x14ac:dyDescent="0.35">
      <c r="A90" s="15" t="s">
        <v>136</v>
      </c>
      <c r="B90" s="17" t="e">
        <v>#DIV/0!</v>
      </c>
      <c r="C90" s="1">
        <v>0.64</v>
      </c>
    </row>
    <row r="91" spans="1:3" x14ac:dyDescent="0.35">
      <c r="A91" s="15" t="s">
        <v>64</v>
      </c>
      <c r="B91" s="17" t="e">
        <v>#DIV/0!</v>
      </c>
      <c r="C91" s="1">
        <v>0.02</v>
      </c>
    </row>
    <row r="92" spans="1:3" x14ac:dyDescent="0.35">
      <c r="A92" s="15" t="s">
        <v>104</v>
      </c>
      <c r="B92" s="17" t="e">
        <v>#DIV/0!</v>
      </c>
      <c r="C92" s="1">
        <v>0.43</v>
      </c>
    </row>
    <row r="93" spans="1:3" x14ac:dyDescent="0.35">
      <c r="A93" s="15" t="s">
        <v>134</v>
      </c>
      <c r="B93" s="17" t="e">
        <v>#DIV/0!</v>
      </c>
      <c r="C93" s="1">
        <v>0.02</v>
      </c>
    </row>
    <row r="94" spans="1:3" x14ac:dyDescent="0.35">
      <c r="A94" s="15" t="s">
        <v>77</v>
      </c>
      <c r="B94" s="17" t="e">
        <v>#DIV/0!</v>
      </c>
      <c r="C94" s="1">
        <v>0.49</v>
      </c>
    </row>
    <row r="95" spans="1:3" x14ac:dyDescent="0.35">
      <c r="A95" s="15" t="s">
        <v>75</v>
      </c>
      <c r="B95" s="17" t="e">
        <v>#DIV/0!</v>
      </c>
      <c r="C95" s="1">
        <v>0.5</v>
      </c>
    </row>
    <row r="96" spans="1:3" x14ac:dyDescent="0.35">
      <c r="A96" s="15" t="s">
        <v>126</v>
      </c>
      <c r="B96" s="17" t="e">
        <v>#DIV/0!</v>
      </c>
      <c r="C96" s="1">
        <v>0.49</v>
      </c>
    </row>
    <row r="97" spans="1:3" x14ac:dyDescent="0.35">
      <c r="A97" s="15" t="s">
        <v>135</v>
      </c>
      <c r="B97" s="17" t="e">
        <v>#DIV/0!</v>
      </c>
      <c r="C97" s="1">
        <v>0.02</v>
      </c>
    </row>
    <row r="98" spans="1:3" x14ac:dyDescent="0.35">
      <c r="A98" s="15" t="s">
        <v>139</v>
      </c>
      <c r="B98" s="17" t="e">
        <v>#DIV/0!</v>
      </c>
      <c r="C98" s="1">
        <v>0.47</v>
      </c>
    </row>
    <row r="99" spans="1:3" x14ac:dyDescent="0.35">
      <c r="A99" s="15" t="s">
        <v>69</v>
      </c>
      <c r="B99" s="17" t="e">
        <v>#DIV/0!</v>
      </c>
      <c r="C99" s="1">
        <v>0.55000000000000004</v>
      </c>
    </row>
    <row r="100" spans="1:3" x14ac:dyDescent="0.35">
      <c r="A100" s="15" t="s">
        <v>116</v>
      </c>
      <c r="B100" s="17" t="e">
        <v>#DIV/0!</v>
      </c>
      <c r="C100" s="1">
        <v>0.43</v>
      </c>
    </row>
    <row r="101" spans="1:3" x14ac:dyDescent="0.35">
      <c r="A101" s="15" t="s">
        <v>117</v>
      </c>
      <c r="B101" s="17" t="e">
        <v>#DIV/0!</v>
      </c>
      <c r="C101" s="1">
        <v>0.5</v>
      </c>
    </row>
    <row r="102" spans="1:3" x14ac:dyDescent="0.35">
      <c r="A102" s="15" t="s">
        <v>66</v>
      </c>
      <c r="B102" s="17" t="e">
        <v>#DIV/0!</v>
      </c>
      <c r="C102" s="1">
        <v>0.33</v>
      </c>
    </row>
    <row r="103" spans="1:3" x14ac:dyDescent="0.35">
      <c r="A103" s="15" t="s">
        <v>122</v>
      </c>
      <c r="B103" s="17" t="e">
        <v>#DIV/0!</v>
      </c>
      <c r="C103" s="1">
        <v>0.08</v>
      </c>
    </row>
    <row r="104" spans="1:3" x14ac:dyDescent="0.35">
      <c r="A104" s="15" t="s">
        <v>60</v>
      </c>
      <c r="B104" s="17" t="e">
        <v>#DIV/0!</v>
      </c>
      <c r="C104" s="1">
        <v>0.38</v>
      </c>
    </row>
    <row r="105" spans="1:3" x14ac:dyDescent="0.35">
      <c r="A105" s="15" t="s">
        <v>68</v>
      </c>
      <c r="B105" s="17" t="e">
        <v>#DIV/0!</v>
      </c>
      <c r="C105" s="1">
        <v>0.38</v>
      </c>
    </row>
    <row r="106" spans="1:3" x14ac:dyDescent="0.35">
      <c r="A106" s="15" t="s">
        <v>62</v>
      </c>
      <c r="B106" s="17" t="e">
        <v>#DIV/0!</v>
      </c>
      <c r="C106" s="1">
        <v>0.5</v>
      </c>
    </row>
    <row r="107" spans="1:3" x14ac:dyDescent="0.35">
      <c r="A107" s="15" t="s">
        <v>115</v>
      </c>
      <c r="B107" s="17" t="e">
        <v>#DIV/0!</v>
      </c>
      <c r="C107" s="1">
        <v>0.14000000000000001</v>
      </c>
    </row>
    <row r="108" spans="1:3" x14ac:dyDescent="0.35">
      <c r="A108" s="15" t="s">
        <v>129</v>
      </c>
      <c r="B108" s="17" t="e">
        <v>#DIV/0!</v>
      </c>
      <c r="C108" s="1">
        <v>0.41</v>
      </c>
    </row>
    <row r="109" spans="1:3" x14ac:dyDescent="0.35">
      <c r="A109" s="15" t="s">
        <v>74</v>
      </c>
      <c r="B109" s="17" t="e">
        <v>#DIV/0!</v>
      </c>
      <c r="C109" s="1">
        <v>0.41</v>
      </c>
    </row>
    <row r="110" spans="1:3" x14ac:dyDescent="0.35">
      <c r="A110" s="15" t="s">
        <v>109</v>
      </c>
      <c r="B110" s="17" t="e">
        <v>#DIV/0!</v>
      </c>
      <c r="C110" s="1">
        <v>0.36</v>
      </c>
    </row>
    <row r="111" spans="1:3" x14ac:dyDescent="0.35">
      <c r="A111" s="15" t="s">
        <v>103</v>
      </c>
      <c r="B111" s="17" t="e">
        <v>#DIV/0!</v>
      </c>
      <c r="C111" s="1">
        <v>0.47</v>
      </c>
    </row>
    <row r="112" spans="1:3" x14ac:dyDescent="0.35">
      <c r="A112" s="15" t="s">
        <v>63</v>
      </c>
      <c r="B112" s="17" t="e">
        <v>#DIV/0!</v>
      </c>
      <c r="C112" s="1">
        <v>0.42</v>
      </c>
    </row>
    <row r="113" spans="1:3" x14ac:dyDescent="0.35">
      <c r="A113" s="15" t="s">
        <v>131</v>
      </c>
      <c r="B113" s="17" t="e">
        <v>#DIV/0!</v>
      </c>
      <c r="C113" s="1">
        <v>0.24</v>
      </c>
    </row>
    <row r="114" spans="1:3" x14ac:dyDescent="0.35">
      <c r="A114" s="15" t="s">
        <v>158</v>
      </c>
      <c r="B114" s="17">
        <v>3.8894736842105266</v>
      </c>
      <c r="C114" s="1">
        <v>0.36776785714285704</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5CB8F-BAD6-489D-B7E1-3DB2253A220E}">
  <dimension ref="A3:B113"/>
  <sheetViews>
    <sheetView workbookViewId="0">
      <selection activeCell="B6" sqref="B6"/>
    </sheetView>
  </sheetViews>
  <sheetFormatPr defaultRowHeight="14.5" x14ac:dyDescent="0.35"/>
  <cols>
    <col min="1" max="1" width="89.1796875" bestFit="1" customWidth="1"/>
    <col min="2" max="2" width="16.1796875" bestFit="1" customWidth="1"/>
  </cols>
  <sheetData>
    <row r="3" spans="1:2" x14ac:dyDescent="0.35">
      <c r="A3" s="14" t="s">
        <v>154</v>
      </c>
      <c r="B3" t="s">
        <v>159</v>
      </c>
    </row>
    <row r="4" spans="1:2" x14ac:dyDescent="0.35">
      <c r="A4" s="15" t="s">
        <v>85</v>
      </c>
      <c r="B4" s="17">
        <v>69</v>
      </c>
    </row>
    <row r="5" spans="1:2" x14ac:dyDescent="0.35">
      <c r="A5" s="15" t="s">
        <v>18</v>
      </c>
      <c r="B5" s="17">
        <v>55</v>
      </c>
    </row>
    <row r="6" spans="1:2" x14ac:dyDescent="0.35">
      <c r="A6" s="15" t="s">
        <v>44</v>
      </c>
      <c r="B6" s="17">
        <v>49</v>
      </c>
    </row>
    <row r="7" spans="1:2" x14ac:dyDescent="0.35">
      <c r="A7" s="15" t="s">
        <v>34</v>
      </c>
      <c r="B7" s="17">
        <v>44</v>
      </c>
    </row>
    <row r="8" spans="1:2" x14ac:dyDescent="0.35">
      <c r="A8" s="15" t="s">
        <v>24</v>
      </c>
      <c r="B8" s="17">
        <v>39</v>
      </c>
    </row>
    <row r="9" spans="1:2" x14ac:dyDescent="0.35">
      <c r="A9" s="15" t="s">
        <v>56</v>
      </c>
      <c r="B9" s="17">
        <v>36</v>
      </c>
    </row>
    <row r="10" spans="1:2" x14ac:dyDescent="0.35">
      <c r="A10" s="15" t="s">
        <v>53</v>
      </c>
      <c r="B10" s="17">
        <v>32</v>
      </c>
    </row>
    <row r="11" spans="1:2" x14ac:dyDescent="0.35">
      <c r="A11" s="15" t="s">
        <v>10</v>
      </c>
      <c r="B11" s="17">
        <v>24</v>
      </c>
    </row>
    <row r="12" spans="1:2" x14ac:dyDescent="0.35">
      <c r="A12" s="15" t="s">
        <v>52</v>
      </c>
      <c r="B12" s="17">
        <v>20</v>
      </c>
    </row>
    <row r="13" spans="1:2" x14ac:dyDescent="0.35">
      <c r="A13" s="15" t="s">
        <v>47</v>
      </c>
      <c r="B13" s="17">
        <v>20</v>
      </c>
    </row>
    <row r="14" spans="1:2" x14ac:dyDescent="0.35">
      <c r="A14" s="15" t="s">
        <v>96</v>
      </c>
      <c r="B14" s="17">
        <v>17</v>
      </c>
    </row>
    <row r="15" spans="1:2" x14ac:dyDescent="0.35">
      <c r="A15" s="15" t="s">
        <v>89</v>
      </c>
      <c r="B15" s="17">
        <v>16</v>
      </c>
    </row>
    <row r="16" spans="1:2" x14ac:dyDescent="0.35">
      <c r="A16" s="15" t="s">
        <v>87</v>
      </c>
      <c r="B16" s="17">
        <v>15</v>
      </c>
    </row>
    <row r="17" spans="1:2" x14ac:dyDescent="0.35">
      <c r="A17" s="15" t="s">
        <v>16</v>
      </c>
      <c r="B17" s="17">
        <v>15</v>
      </c>
    </row>
    <row r="18" spans="1:2" x14ac:dyDescent="0.35">
      <c r="A18" s="15" t="s">
        <v>8</v>
      </c>
      <c r="B18" s="17">
        <v>14</v>
      </c>
    </row>
    <row r="19" spans="1:2" x14ac:dyDescent="0.35">
      <c r="A19" s="15" t="s">
        <v>40</v>
      </c>
      <c r="B19" s="17">
        <v>14</v>
      </c>
    </row>
    <row r="20" spans="1:2" x14ac:dyDescent="0.35">
      <c r="A20" s="15" t="s">
        <v>46</v>
      </c>
      <c r="B20" s="17">
        <v>13</v>
      </c>
    </row>
    <row r="21" spans="1:2" x14ac:dyDescent="0.35">
      <c r="A21" s="15" t="s">
        <v>35</v>
      </c>
      <c r="B21" s="17">
        <v>13</v>
      </c>
    </row>
    <row r="22" spans="1:2" x14ac:dyDescent="0.35">
      <c r="A22" s="15" t="s">
        <v>83</v>
      </c>
      <c r="B22" s="17">
        <v>13</v>
      </c>
    </row>
    <row r="23" spans="1:2" x14ac:dyDescent="0.35">
      <c r="A23" s="15" t="s">
        <v>25</v>
      </c>
      <c r="B23" s="17">
        <v>12</v>
      </c>
    </row>
    <row r="24" spans="1:2" x14ac:dyDescent="0.35">
      <c r="A24" s="15" t="s">
        <v>45</v>
      </c>
      <c r="B24" s="17">
        <v>12</v>
      </c>
    </row>
    <row r="25" spans="1:2" x14ac:dyDescent="0.35">
      <c r="A25" s="15" t="s">
        <v>23</v>
      </c>
      <c r="B25" s="17">
        <v>12</v>
      </c>
    </row>
    <row r="26" spans="1:2" x14ac:dyDescent="0.35">
      <c r="A26" s="15" t="s">
        <v>50</v>
      </c>
      <c r="B26" s="17">
        <v>12</v>
      </c>
    </row>
    <row r="27" spans="1:2" x14ac:dyDescent="0.35">
      <c r="A27" s="15" t="s">
        <v>81</v>
      </c>
      <c r="B27" s="17">
        <v>10</v>
      </c>
    </row>
    <row r="28" spans="1:2" x14ac:dyDescent="0.35">
      <c r="A28" s="15" t="s">
        <v>49</v>
      </c>
      <c r="B28" s="17">
        <v>9</v>
      </c>
    </row>
    <row r="29" spans="1:2" x14ac:dyDescent="0.35">
      <c r="A29" s="15" t="s">
        <v>27</v>
      </c>
      <c r="B29" s="17">
        <v>9</v>
      </c>
    </row>
    <row r="30" spans="1:2" x14ac:dyDescent="0.35">
      <c r="A30" s="15" t="s">
        <v>51</v>
      </c>
      <c r="B30" s="17">
        <v>9</v>
      </c>
    </row>
    <row r="31" spans="1:2" x14ac:dyDescent="0.35">
      <c r="A31" s="15" t="s">
        <v>42</v>
      </c>
      <c r="B31" s="17">
        <v>7</v>
      </c>
    </row>
    <row r="32" spans="1:2" x14ac:dyDescent="0.35">
      <c r="A32" s="15" t="s">
        <v>93</v>
      </c>
      <c r="B32" s="17">
        <v>7</v>
      </c>
    </row>
    <row r="33" spans="1:2" x14ac:dyDescent="0.35">
      <c r="A33" s="15" t="s">
        <v>102</v>
      </c>
      <c r="B33" s="17">
        <v>7</v>
      </c>
    </row>
    <row r="34" spans="1:2" x14ac:dyDescent="0.35">
      <c r="A34" s="15" t="s">
        <v>12</v>
      </c>
      <c r="B34" s="17">
        <v>7</v>
      </c>
    </row>
    <row r="35" spans="1:2" x14ac:dyDescent="0.35">
      <c r="A35" s="15" t="s">
        <v>26</v>
      </c>
      <c r="B35" s="17">
        <v>6</v>
      </c>
    </row>
    <row r="36" spans="1:2" x14ac:dyDescent="0.35">
      <c r="A36" s="15" t="s">
        <v>99</v>
      </c>
      <c r="B36" s="17">
        <v>6</v>
      </c>
    </row>
    <row r="37" spans="1:2" x14ac:dyDescent="0.35">
      <c r="A37" s="15" t="s">
        <v>91</v>
      </c>
      <c r="B37" s="17">
        <v>6</v>
      </c>
    </row>
    <row r="38" spans="1:2" x14ac:dyDescent="0.35">
      <c r="A38" s="15" t="s">
        <v>39</v>
      </c>
      <c r="B38" s="17">
        <v>6</v>
      </c>
    </row>
    <row r="39" spans="1:2" x14ac:dyDescent="0.35">
      <c r="A39" s="15" t="s">
        <v>79</v>
      </c>
      <c r="B39" s="17">
        <v>6</v>
      </c>
    </row>
    <row r="40" spans="1:2" x14ac:dyDescent="0.35">
      <c r="A40" s="15" t="s">
        <v>101</v>
      </c>
      <c r="B40" s="17">
        <v>6</v>
      </c>
    </row>
    <row r="41" spans="1:2" x14ac:dyDescent="0.35">
      <c r="A41" s="15" t="s">
        <v>98</v>
      </c>
      <c r="B41" s="17">
        <v>5</v>
      </c>
    </row>
    <row r="42" spans="1:2" x14ac:dyDescent="0.35">
      <c r="A42" s="15" t="s">
        <v>33</v>
      </c>
      <c r="B42" s="17">
        <v>5</v>
      </c>
    </row>
    <row r="43" spans="1:2" x14ac:dyDescent="0.35">
      <c r="A43" s="15" t="s">
        <v>21</v>
      </c>
      <c r="B43" s="17">
        <v>5</v>
      </c>
    </row>
    <row r="44" spans="1:2" x14ac:dyDescent="0.35">
      <c r="A44" s="15" t="s">
        <v>14</v>
      </c>
      <c r="B44" s="17">
        <v>5</v>
      </c>
    </row>
    <row r="45" spans="1:2" x14ac:dyDescent="0.35">
      <c r="A45" s="15" t="s">
        <v>20</v>
      </c>
      <c r="B45" s="17">
        <v>5</v>
      </c>
    </row>
    <row r="46" spans="1:2" x14ac:dyDescent="0.35">
      <c r="A46" s="15" t="s">
        <v>95</v>
      </c>
      <c r="B46" s="17">
        <v>5</v>
      </c>
    </row>
    <row r="47" spans="1:2" x14ac:dyDescent="0.35">
      <c r="A47" s="15" t="s">
        <v>100</v>
      </c>
      <c r="B47" s="17">
        <v>5</v>
      </c>
    </row>
    <row r="48" spans="1:2" x14ac:dyDescent="0.35">
      <c r="A48" s="15" t="s">
        <v>32</v>
      </c>
      <c r="B48" s="17">
        <v>3</v>
      </c>
    </row>
    <row r="49" spans="1:2" x14ac:dyDescent="0.35">
      <c r="A49" s="15" t="s">
        <v>19</v>
      </c>
      <c r="B49" s="17">
        <v>2</v>
      </c>
    </row>
    <row r="50" spans="1:2" x14ac:dyDescent="0.35">
      <c r="A50" s="15" t="s">
        <v>29</v>
      </c>
      <c r="B50" s="17">
        <v>2</v>
      </c>
    </row>
    <row r="51" spans="1:2" x14ac:dyDescent="0.35">
      <c r="A51" s="15" t="s">
        <v>55</v>
      </c>
      <c r="B51" s="17">
        <v>2</v>
      </c>
    </row>
    <row r="52" spans="1:2" x14ac:dyDescent="0.35">
      <c r="A52" s="15" t="s">
        <v>31</v>
      </c>
      <c r="B52" s="17">
        <v>2</v>
      </c>
    </row>
    <row r="53" spans="1:2" x14ac:dyDescent="0.35">
      <c r="A53" s="15" t="s">
        <v>57</v>
      </c>
      <c r="B53" s="17">
        <v>2</v>
      </c>
    </row>
    <row r="54" spans="1:2" x14ac:dyDescent="0.35">
      <c r="A54" s="15" t="s">
        <v>151</v>
      </c>
      <c r="B54" s="17">
        <v>2</v>
      </c>
    </row>
    <row r="55" spans="1:2" x14ac:dyDescent="0.35">
      <c r="A55" s="15" t="s">
        <v>128</v>
      </c>
      <c r="B55" s="17">
        <v>1</v>
      </c>
    </row>
    <row r="56" spans="1:2" x14ac:dyDescent="0.35">
      <c r="A56" s="15" t="s">
        <v>107</v>
      </c>
      <c r="B56" s="17">
        <v>1</v>
      </c>
    </row>
    <row r="57" spans="1:2" x14ac:dyDescent="0.35">
      <c r="A57" s="15" t="s">
        <v>54</v>
      </c>
      <c r="B57" s="17">
        <v>1</v>
      </c>
    </row>
    <row r="58" spans="1:2" x14ac:dyDescent="0.35">
      <c r="A58" s="15" t="s">
        <v>108</v>
      </c>
      <c r="B58" s="17">
        <v>1</v>
      </c>
    </row>
    <row r="59" spans="1:2" x14ac:dyDescent="0.35">
      <c r="A59" s="15" t="s">
        <v>111</v>
      </c>
      <c r="B59" s="17">
        <v>1</v>
      </c>
    </row>
    <row r="60" spans="1:2" x14ac:dyDescent="0.35">
      <c r="A60" s="15" t="s">
        <v>137</v>
      </c>
      <c r="B60" s="17">
        <v>1</v>
      </c>
    </row>
    <row r="61" spans="1:2" x14ac:dyDescent="0.35">
      <c r="A61" s="15" t="s">
        <v>71</v>
      </c>
      <c r="B61" s="17" t="e">
        <v>#DIV/0!</v>
      </c>
    </row>
    <row r="62" spans="1:2" x14ac:dyDescent="0.35">
      <c r="A62" s="15" t="s">
        <v>127</v>
      </c>
      <c r="B62" s="17" t="e">
        <v>#DIV/0!</v>
      </c>
    </row>
    <row r="63" spans="1:2" x14ac:dyDescent="0.35">
      <c r="A63" s="15" t="s">
        <v>119</v>
      </c>
      <c r="B63" s="17" t="e">
        <v>#DIV/0!</v>
      </c>
    </row>
    <row r="64" spans="1:2" x14ac:dyDescent="0.35">
      <c r="A64" s="15" t="s">
        <v>130</v>
      </c>
      <c r="B64" s="17" t="e">
        <v>#DIV/0!</v>
      </c>
    </row>
    <row r="65" spans="1:2" x14ac:dyDescent="0.35">
      <c r="A65" s="15" t="s">
        <v>129</v>
      </c>
      <c r="B65" s="17" t="e">
        <v>#DIV/0!</v>
      </c>
    </row>
    <row r="66" spans="1:2" x14ac:dyDescent="0.35">
      <c r="A66" s="15" t="s">
        <v>61</v>
      </c>
      <c r="B66" s="17" t="e">
        <v>#DIV/0!</v>
      </c>
    </row>
    <row r="67" spans="1:2" x14ac:dyDescent="0.35">
      <c r="A67" s="15" t="s">
        <v>123</v>
      </c>
      <c r="B67" s="17" t="e">
        <v>#DIV/0!</v>
      </c>
    </row>
    <row r="68" spans="1:2" x14ac:dyDescent="0.35">
      <c r="A68" s="15" t="s">
        <v>37</v>
      </c>
      <c r="B68" s="17" t="e">
        <v>#DIV/0!</v>
      </c>
    </row>
    <row r="69" spans="1:2" x14ac:dyDescent="0.35">
      <c r="A69" s="15" t="s">
        <v>135</v>
      </c>
      <c r="B69" s="17" t="e">
        <v>#DIV/0!</v>
      </c>
    </row>
    <row r="70" spans="1:2" x14ac:dyDescent="0.35">
      <c r="A70" s="15" t="s">
        <v>121</v>
      </c>
      <c r="B70" s="17" t="e">
        <v>#DIV/0!</v>
      </c>
    </row>
    <row r="71" spans="1:2" x14ac:dyDescent="0.35">
      <c r="A71" s="15" t="s">
        <v>48</v>
      </c>
      <c r="B71" s="17" t="e">
        <v>#DIV/0!</v>
      </c>
    </row>
    <row r="72" spans="1:2" x14ac:dyDescent="0.35">
      <c r="A72" s="15" t="s">
        <v>68</v>
      </c>
      <c r="B72" s="17" t="e">
        <v>#DIV/0!</v>
      </c>
    </row>
    <row r="73" spans="1:2" x14ac:dyDescent="0.35">
      <c r="A73" s="15" t="s">
        <v>114</v>
      </c>
      <c r="B73" s="17" t="e">
        <v>#DIV/0!</v>
      </c>
    </row>
    <row r="74" spans="1:2" x14ac:dyDescent="0.35">
      <c r="A74" s="15" t="s">
        <v>133</v>
      </c>
      <c r="B74" s="17" t="e">
        <v>#DIV/0!</v>
      </c>
    </row>
    <row r="75" spans="1:2" x14ac:dyDescent="0.35">
      <c r="A75" s="15" t="s">
        <v>104</v>
      </c>
      <c r="B75" s="17" t="e">
        <v>#DIV/0!</v>
      </c>
    </row>
    <row r="76" spans="1:2" x14ac:dyDescent="0.35">
      <c r="A76" s="15" t="s">
        <v>103</v>
      </c>
      <c r="B76" s="17" t="e">
        <v>#DIV/0!</v>
      </c>
    </row>
    <row r="77" spans="1:2" x14ac:dyDescent="0.35">
      <c r="A77" s="15" t="s">
        <v>118</v>
      </c>
      <c r="B77" s="17" t="e">
        <v>#DIV/0!</v>
      </c>
    </row>
    <row r="78" spans="1:2" x14ac:dyDescent="0.35">
      <c r="A78" s="15" t="s">
        <v>65</v>
      </c>
      <c r="B78" s="17" t="e">
        <v>#DIV/0!</v>
      </c>
    </row>
    <row r="79" spans="1:2" x14ac:dyDescent="0.35">
      <c r="A79" s="15" t="s">
        <v>134</v>
      </c>
      <c r="B79" s="17" t="e">
        <v>#DIV/0!</v>
      </c>
    </row>
    <row r="80" spans="1:2" x14ac:dyDescent="0.35">
      <c r="A80" s="15" t="s">
        <v>78</v>
      </c>
      <c r="B80" s="17" t="e">
        <v>#DIV/0!</v>
      </c>
    </row>
    <row r="81" spans="1:2" x14ac:dyDescent="0.35">
      <c r="A81" s="15" t="s">
        <v>117</v>
      </c>
      <c r="B81" s="17" t="e">
        <v>#DIV/0!</v>
      </c>
    </row>
    <row r="82" spans="1:2" x14ac:dyDescent="0.35">
      <c r="A82" s="15" t="s">
        <v>109</v>
      </c>
      <c r="B82" s="17" t="e">
        <v>#DIV/0!</v>
      </c>
    </row>
    <row r="83" spans="1:2" x14ac:dyDescent="0.35">
      <c r="A83" s="15" t="s">
        <v>116</v>
      </c>
      <c r="B83" s="17" t="e">
        <v>#DIV/0!</v>
      </c>
    </row>
    <row r="84" spans="1:2" x14ac:dyDescent="0.35">
      <c r="A84" s="15" t="s">
        <v>76</v>
      </c>
      <c r="B84" s="17" t="e">
        <v>#DIV/0!</v>
      </c>
    </row>
    <row r="85" spans="1:2" x14ac:dyDescent="0.35">
      <c r="A85" s="15" t="s">
        <v>73</v>
      </c>
      <c r="B85" s="17" t="e">
        <v>#DIV/0!</v>
      </c>
    </row>
    <row r="86" spans="1:2" x14ac:dyDescent="0.35">
      <c r="A86" s="15" t="s">
        <v>131</v>
      </c>
      <c r="B86" s="17" t="e">
        <v>#DIV/0!</v>
      </c>
    </row>
    <row r="87" spans="1:2" x14ac:dyDescent="0.35">
      <c r="A87" s="15" t="s">
        <v>112</v>
      </c>
      <c r="B87" s="17" t="e">
        <v>#DIV/0!</v>
      </c>
    </row>
    <row r="88" spans="1:2" x14ac:dyDescent="0.35">
      <c r="A88" s="15" t="s">
        <v>136</v>
      </c>
      <c r="B88" s="17" t="e">
        <v>#DIV/0!</v>
      </c>
    </row>
    <row r="89" spans="1:2" x14ac:dyDescent="0.35">
      <c r="A89" s="15" t="s">
        <v>70</v>
      </c>
      <c r="B89" s="17" t="e">
        <v>#DIV/0!</v>
      </c>
    </row>
    <row r="90" spans="1:2" x14ac:dyDescent="0.35">
      <c r="A90" s="15" t="s">
        <v>60</v>
      </c>
      <c r="B90" s="17" t="e">
        <v>#DIV/0!</v>
      </c>
    </row>
    <row r="91" spans="1:2" x14ac:dyDescent="0.35">
      <c r="A91" s="15" t="s">
        <v>72</v>
      </c>
      <c r="B91" s="17" t="e">
        <v>#DIV/0!</v>
      </c>
    </row>
    <row r="92" spans="1:2" x14ac:dyDescent="0.35">
      <c r="A92" s="15" t="s">
        <v>120</v>
      </c>
      <c r="B92" s="17" t="e">
        <v>#DIV/0!</v>
      </c>
    </row>
    <row r="93" spans="1:2" x14ac:dyDescent="0.35">
      <c r="A93" s="15" t="s">
        <v>77</v>
      </c>
      <c r="B93" s="17" t="e">
        <v>#DIV/0!</v>
      </c>
    </row>
    <row r="94" spans="1:2" x14ac:dyDescent="0.35">
      <c r="A94" s="15" t="s">
        <v>122</v>
      </c>
      <c r="B94" s="17" t="e">
        <v>#DIV/0!</v>
      </c>
    </row>
    <row r="95" spans="1:2" x14ac:dyDescent="0.35">
      <c r="A95" s="15" t="s">
        <v>74</v>
      </c>
      <c r="B95" s="17" t="e">
        <v>#DIV/0!</v>
      </c>
    </row>
    <row r="96" spans="1:2" x14ac:dyDescent="0.35">
      <c r="A96" s="15" t="s">
        <v>115</v>
      </c>
      <c r="B96" s="17" t="e">
        <v>#DIV/0!</v>
      </c>
    </row>
    <row r="97" spans="1:2" x14ac:dyDescent="0.35">
      <c r="A97" s="15" t="s">
        <v>67</v>
      </c>
      <c r="B97" s="17" t="e">
        <v>#DIV/0!</v>
      </c>
    </row>
    <row r="98" spans="1:2" x14ac:dyDescent="0.35">
      <c r="A98" s="15" t="s">
        <v>139</v>
      </c>
      <c r="B98" s="17" t="e">
        <v>#DIV/0!</v>
      </c>
    </row>
    <row r="99" spans="1:2" x14ac:dyDescent="0.35">
      <c r="A99" s="15" t="s">
        <v>64</v>
      </c>
      <c r="B99" s="17" t="e">
        <v>#DIV/0!</v>
      </c>
    </row>
    <row r="100" spans="1:2" x14ac:dyDescent="0.35">
      <c r="A100" s="15" t="s">
        <v>124</v>
      </c>
      <c r="B100" s="17" t="e">
        <v>#DIV/0!</v>
      </c>
    </row>
    <row r="101" spans="1:2" x14ac:dyDescent="0.35">
      <c r="A101" s="15" t="s">
        <v>75</v>
      </c>
      <c r="B101" s="17" t="e">
        <v>#DIV/0!</v>
      </c>
    </row>
    <row r="102" spans="1:2" x14ac:dyDescent="0.35">
      <c r="A102" s="15" t="s">
        <v>110</v>
      </c>
      <c r="B102" s="17" t="e">
        <v>#DIV/0!</v>
      </c>
    </row>
    <row r="103" spans="1:2" x14ac:dyDescent="0.35">
      <c r="A103" s="15" t="s">
        <v>126</v>
      </c>
      <c r="B103" s="17" t="e">
        <v>#DIV/0!</v>
      </c>
    </row>
    <row r="104" spans="1:2" x14ac:dyDescent="0.35">
      <c r="A104" s="15" t="s">
        <v>125</v>
      </c>
      <c r="B104" s="17" t="e">
        <v>#DIV/0!</v>
      </c>
    </row>
    <row r="105" spans="1:2" x14ac:dyDescent="0.35">
      <c r="A105" s="15" t="s">
        <v>113</v>
      </c>
      <c r="B105" s="17" t="e">
        <v>#DIV/0!</v>
      </c>
    </row>
    <row r="106" spans="1:2" x14ac:dyDescent="0.35">
      <c r="A106" s="15" t="s">
        <v>62</v>
      </c>
      <c r="B106" s="17" t="e">
        <v>#DIV/0!</v>
      </c>
    </row>
    <row r="107" spans="1:2" x14ac:dyDescent="0.35">
      <c r="A107" s="15" t="s">
        <v>66</v>
      </c>
      <c r="B107" s="17" t="e">
        <v>#DIV/0!</v>
      </c>
    </row>
    <row r="108" spans="1:2" x14ac:dyDescent="0.35">
      <c r="A108" s="15" t="s">
        <v>63</v>
      </c>
      <c r="B108" s="17" t="e">
        <v>#DIV/0!</v>
      </c>
    </row>
    <row r="109" spans="1:2" x14ac:dyDescent="0.35">
      <c r="A109" s="15" t="s">
        <v>132</v>
      </c>
      <c r="B109" s="17" t="e">
        <v>#DIV/0!</v>
      </c>
    </row>
    <row r="110" spans="1:2" x14ac:dyDescent="0.35">
      <c r="A110" s="15" t="s">
        <v>106</v>
      </c>
      <c r="B110" s="17" t="e">
        <v>#DIV/0!</v>
      </c>
    </row>
    <row r="111" spans="1:2" x14ac:dyDescent="0.35">
      <c r="A111" s="15" t="s">
        <v>69</v>
      </c>
      <c r="B111" s="17" t="e">
        <v>#DIV/0!</v>
      </c>
    </row>
    <row r="112" spans="1:2" x14ac:dyDescent="0.35">
      <c r="A112" s="15" t="s">
        <v>105</v>
      </c>
      <c r="B112" s="17" t="e">
        <v>#DIV/0!</v>
      </c>
    </row>
    <row r="113" spans="1:2" x14ac:dyDescent="0.35">
      <c r="A113" s="15" t="s">
        <v>158</v>
      </c>
      <c r="B113" s="17">
        <v>12.684210526315789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7076B-2E13-4AFD-9664-C8E8CE29CA24}">
  <dimension ref="A1:J113"/>
  <sheetViews>
    <sheetView workbookViewId="0">
      <selection activeCell="A16" sqref="A16"/>
    </sheetView>
  </sheetViews>
  <sheetFormatPr defaultRowHeight="14.5" x14ac:dyDescent="0.35"/>
  <cols>
    <col min="1" max="1" width="89.1796875" bestFit="1" customWidth="1"/>
    <col min="5" max="5" width="16.81640625" bestFit="1" customWidth="1"/>
    <col min="7" max="7" width="17.54296875" bestFit="1" customWidth="1"/>
    <col min="10" max="10" width="15.26953125" bestFit="1" customWidth="1"/>
  </cols>
  <sheetData>
    <row r="1" spans="1:10" ht="15.5" x14ac:dyDescent="0.35">
      <c r="A1" s="5" t="s">
        <v>0</v>
      </c>
      <c r="B1" s="6" t="s">
        <v>1</v>
      </c>
      <c r="C1" s="6" t="s">
        <v>2</v>
      </c>
      <c r="D1" s="6" t="s">
        <v>140</v>
      </c>
      <c r="E1" s="6" t="s">
        <v>142</v>
      </c>
      <c r="F1" s="5" t="s">
        <v>3</v>
      </c>
      <c r="G1" s="6" t="s">
        <v>141</v>
      </c>
      <c r="H1" s="5" t="s">
        <v>4</v>
      </c>
      <c r="I1" s="5" t="s">
        <v>5</v>
      </c>
      <c r="J1" s="5" t="s">
        <v>143</v>
      </c>
    </row>
    <row r="2" spans="1:10" x14ac:dyDescent="0.35">
      <c r="A2" t="s">
        <v>151</v>
      </c>
      <c r="B2" s="3">
        <v>950</v>
      </c>
      <c r="C2" s="3">
        <v>1525</v>
      </c>
      <c r="D2" s="2" t="str">
        <f>IF(B2&gt;3000,"High Price",IF(B2&gt;=2000,"Medium Price","Low Price"))</f>
        <v>Low Price</v>
      </c>
      <c r="E2" s="2">
        <f>C2-B2</f>
        <v>575</v>
      </c>
      <c r="F2" s="1">
        <v>0.38</v>
      </c>
      <c r="G2" s="1" t="str">
        <f>IF(F2&lt;20%,"Low Discount",IF(F2&lt;=40%,"Medium Discount","High Discount"))</f>
        <v>Medium Discount</v>
      </c>
      <c r="H2">
        <v>2</v>
      </c>
      <c r="I2">
        <v>4.5</v>
      </c>
      <c r="J2" t="str">
        <f>IF(I2="Unknown","Unknown",IF(I2&lt;3,"Poor",IF(I2&lt;=4.5,"Average","Excellent")))</f>
        <v>Average</v>
      </c>
    </row>
    <row r="3" spans="1:10" x14ac:dyDescent="0.35">
      <c r="A3" t="s">
        <v>8</v>
      </c>
      <c r="B3" s="3">
        <v>527</v>
      </c>
      <c r="C3" s="3">
        <v>999</v>
      </c>
      <c r="D3" s="2" t="str">
        <f t="shared" ref="D3:D66" si="0">IF(B3&gt;3000,"High Price",IF(B3&gt;=2000,"Medium Price","Low Price"))</f>
        <v>Low Price</v>
      </c>
      <c r="E3" s="2">
        <f t="shared" ref="E3:E66" si="1">C3-B3</f>
        <v>472</v>
      </c>
      <c r="F3" s="1">
        <v>0.47</v>
      </c>
      <c r="G3" s="1" t="str">
        <f t="shared" ref="G3:G66" si="2">IF(F3&lt;20%,"Low Discount",IF(F3&lt;=40%,"Medium Discount","High Discount"))</f>
        <v>High Discount</v>
      </c>
      <c r="H3">
        <v>14</v>
      </c>
      <c r="I3">
        <v>4.0999999999999996</v>
      </c>
      <c r="J3" t="str">
        <f t="shared" ref="J3:J66" si="3">IF(I3="Unknown","Unknown",IF(I3&lt;3,"Poor",IF(I3&lt;=4.5,"Average","Excellent")))</f>
        <v>Average</v>
      </c>
    </row>
    <row r="4" spans="1:10" x14ac:dyDescent="0.35">
      <c r="A4" t="s">
        <v>10</v>
      </c>
      <c r="B4" s="3">
        <v>2199</v>
      </c>
      <c r="C4" s="3">
        <v>2923</v>
      </c>
      <c r="D4" s="2" t="str">
        <f t="shared" si="0"/>
        <v>Medium Price</v>
      </c>
      <c r="E4" s="2">
        <f t="shared" si="1"/>
        <v>724</v>
      </c>
      <c r="F4" s="1">
        <v>0.25</v>
      </c>
      <c r="G4" s="1" t="str">
        <f t="shared" si="2"/>
        <v>Medium Discount</v>
      </c>
      <c r="H4">
        <v>24</v>
      </c>
      <c r="I4">
        <v>4.5999999999999996</v>
      </c>
      <c r="J4" t="str">
        <f t="shared" si="3"/>
        <v>Excellent</v>
      </c>
    </row>
    <row r="5" spans="1:10" x14ac:dyDescent="0.35">
      <c r="A5" t="s">
        <v>12</v>
      </c>
      <c r="B5" s="3">
        <v>1580</v>
      </c>
      <c r="C5" s="3">
        <v>2499</v>
      </c>
      <c r="D5" s="2" t="str">
        <f t="shared" si="0"/>
        <v>Low Price</v>
      </c>
      <c r="E5" s="2">
        <f t="shared" si="1"/>
        <v>919</v>
      </c>
      <c r="F5" s="1">
        <v>0.37</v>
      </c>
      <c r="G5" s="1" t="str">
        <f t="shared" si="2"/>
        <v>Medium Discount</v>
      </c>
      <c r="H5">
        <v>7</v>
      </c>
      <c r="I5">
        <v>4.7</v>
      </c>
      <c r="J5" t="str">
        <f t="shared" si="3"/>
        <v>Excellent</v>
      </c>
    </row>
    <row r="6" spans="1:10" x14ac:dyDescent="0.35">
      <c r="A6" t="s">
        <v>14</v>
      </c>
      <c r="B6" s="3">
        <v>1740</v>
      </c>
      <c r="C6" s="3">
        <v>2356</v>
      </c>
      <c r="D6" s="2" t="str">
        <f t="shared" si="0"/>
        <v>Low Price</v>
      </c>
      <c r="E6" s="2">
        <f t="shared" si="1"/>
        <v>616</v>
      </c>
      <c r="F6" s="1">
        <v>0.26</v>
      </c>
      <c r="G6" s="1" t="str">
        <f t="shared" si="2"/>
        <v>Medium Discount</v>
      </c>
      <c r="H6">
        <v>5</v>
      </c>
      <c r="I6">
        <v>4.8</v>
      </c>
      <c r="J6" t="str">
        <f t="shared" si="3"/>
        <v>Excellent</v>
      </c>
    </row>
    <row r="7" spans="1:10" x14ac:dyDescent="0.35">
      <c r="A7" t="s">
        <v>16</v>
      </c>
      <c r="B7" s="3">
        <v>2999</v>
      </c>
      <c r="C7" s="3">
        <v>3290</v>
      </c>
      <c r="D7" s="2" t="str">
        <f t="shared" si="0"/>
        <v>Medium Price</v>
      </c>
      <c r="E7" s="2">
        <f t="shared" si="1"/>
        <v>291</v>
      </c>
      <c r="F7" s="1">
        <v>0.09</v>
      </c>
      <c r="G7" s="1" t="str">
        <f t="shared" si="2"/>
        <v>Low Discount</v>
      </c>
      <c r="H7">
        <v>15</v>
      </c>
      <c r="I7">
        <v>4</v>
      </c>
      <c r="J7" t="str">
        <f t="shared" si="3"/>
        <v>Average</v>
      </c>
    </row>
    <row r="8" spans="1:10" x14ac:dyDescent="0.35">
      <c r="A8" t="s">
        <v>18</v>
      </c>
      <c r="B8" s="3">
        <v>2319</v>
      </c>
      <c r="C8" s="3">
        <v>3032</v>
      </c>
      <c r="D8" s="2" t="str">
        <f t="shared" si="0"/>
        <v>Medium Price</v>
      </c>
      <c r="E8" s="2">
        <f t="shared" si="1"/>
        <v>713</v>
      </c>
      <c r="F8" s="1">
        <v>0.24</v>
      </c>
      <c r="G8" s="1" t="str">
        <f t="shared" si="2"/>
        <v>Medium Discount</v>
      </c>
      <c r="H8">
        <v>55</v>
      </c>
      <c r="I8">
        <v>4.5999999999999996</v>
      </c>
      <c r="J8" t="str">
        <f t="shared" si="3"/>
        <v>Excellent</v>
      </c>
    </row>
    <row r="9" spans="1:10" x14ac:dyDescent="0.35">
      <c r="A9" t="s">
        <v>19</v>
      </c>
      <c r="B9" s="3">
        <v>988</v>
      </c>
      <c r="C9" s="3">
        <v>1580</v>
      </c>
      <c r="D9" s="2" t="str">
        <f t="shared" si="0"/>
        <v>Low Price</v>
      </c>
      <c r="E9" s="2">
        <f t="shared" si="1"/>
        <v>592</v>
      </c>
      <c r="F9" s="1">
        <v>0.37</v>
      </c>
      <c r="G9" s="1" t="str">
        <f t="shared" si="2"/>
        <v>Medium Discount</v>
      </c>
      <c r="H9">
        <v>2</v>
      </c>
      <c r="I9">
        <v>4</v>
      </c>
      <c r="J9" t="str">
        <f t="shared" si="3"/>
        <v>Average</v>
      </c>
    </row>
    <row r="10" spans="1:10" x14ac:dyDescent="0.35">
      <c r="A10" t="s">
        <v>20</v>
      </c>
      <c r="B10" s="3">
        <v>1274</v>
      </c>
      <c r="C10" s="3">
        <v>2800</v>
      </c>
      <c r="D10" s="2" t="str">
        <f t="shared" si="0"/>
        <v>Low Price</v>
      </c>
      <c r="E10" s="2">
        <f t="shared" si="1"/>
        <v>1526</v>
      </c>
      <c r="F10" s="1">
        <v>0.55000000000000004</v>
      </c>
      <c r="G10" s="1" t="str">
        <f t="shared" si="2"/>
        <v>High Discount</v>
      </c>
      <c r="H10">
        <v>5</v>
      </c>
      <c r="I10">
        <v>4.8</v>
      </c>
      <c r="J10" t="str">
        <f t="shared" si="3"/>
        <v>Excellent</v>
      </c>
    </row>
    <row r="11" spans="1:10" x14ac:dyDescent="0.35">
      <c r="A11" t="s">
        <v>21</v>
      </c>
      <c r="B11" s="3">
        <v>1600</v>
      </c>
      <c r="C11" s="3">
        <v>2929</v>
      </c>
      <c r="D11" s="2" t="str">
        <f t="shared" si="0"/>
        <v>Low Price</v>
      </c>
      <c r="E11" s="2">
        <f t="shared" si="1"/>
        <v>1329</v>
      </c>
      <c r="F11" s="1">
        <v>0.45</v>
      </c>
      <c r="G11" s="1" t="str">
        <f t="shared" si="2"/>
        <v>High Discount</v>
      </c>
      <c r="H11">
        <v>5</v>
      </c>
      <c r="I11">
        <v>3.8</v>
      </c>
      <c r="J11" t="str">
        <f t="shared" si="3"/>
        <v>Average</v>
      </c>
    </row>
    <row r="12" spans="1:10" x14ac:dyDescent="0.35">
      <c r="A12" t="s">
        <v>23</v>
      </c>
      <c r="B12" s="3">
        <v>799</v>
      </c>
      <c r="C12" s="3">
        <v>999</v>
      </c>
      <c r="D12" s="2" t="str">
        <f t="shared" si="0"/>
        <v>Low Price</v>
      </c>
      <c r="E12" s="2">
        <f t="shared" si="1"/>
        <v>200</v>
      </c>
      <c r="F12" s="1">
        <v>0.2</v>
      </c>
      <c r="G12" s="1" t="str">
        <f t="shared" si="2"/>
        <v>Medium Discount</v>
      </c>
      <c r="H12">
        <v>12</v>
      </c>
      <c r="I12">
        <v>4.0999999999999996</v>
      </c>
      <c r="J12" t="str">
        <f t="shared" si="3"/>
        <v>Average</v>
      </c>
    </row>
    <row r="13" spans="1:10" x14ac:dyDescent="0.35">
      <c r="A13" t="s">
        <v>24</v>
      </c>
      <c r="B13" s="3">
        <v>990</v>
      </c>
      <c r="C13" s="3">
        <v>1500</v>
      </c>
      <c r="D13" s="2" t="str">
        <f t="shared" si="0"/>
        <v>Low Price</v>
      </c>
      <c r="E13" s="2">
        <f t="shared" si="1"/>
        <v>510</v>
      </c>
      <c r="F13" s="1">
        <v>0.34</v>
      </c>
      <c r="G13" s="1" t="str">
        <f t="shared" si="2"/>
        <v>Medium Discount</v>
      </c>
      <c r="H13">
        <v>39</v>
      </c>
      <c r="I13">
        <v>4.7</v>
      </c>
      <c r="J13" t="str">
        <f t="shared" si="3"/>
        <v>Excellent</v>
      </c>
    </row>
    <row r="14" spans="1:10" x14ac:dyDescent="0.35">
      <c r="A14" t="s">
        <v>25</v>
      </c>
      <c r="B14" s="3">
        <v>552</v>
      </c>
      <c r="C14" s="3">
        <v>1035</v>
      </c>
      <c r="D14" s="2" t="str">
        <f t="shared" si="0"/>
        <v>Low Price</v>
      </c>
      <c r="E14" s="2">
        <f t="shared" si="1"/>
        <v>483</v>
      </c>
      <c r="F14" s="1">
        <v>0.47</v>
      </c>
      <c r="G14" s="1" t="str">
        <f t="shared" si="2"/>
        <v>High Discount</v>
      </c>
      <c r="H14">
        <v>12</v>
      </c>
      <c r="I14">
        <v>4.8</v>
      </c>
      <c r="J14" t="str">
        <f t="shared" si="3"/>
        <v>Excellent</v>
      </c>
    </row>
    <row r="15" spans="1:10" x14ac:dyDescent="0.35">
      <c r="A15" t="s">
        <v>26</v>
      </c>
      <c r="B15" s="3">
        <v>501</v>
      </c>
      <c r="C15" s="3">
        <v>860</v>
      </c>
      <c r="D15" s="2" t="str">
        <f t="shared" si="0"/>
        <v>Low Price</v>
      </c>
      <c r="E15" s="2">
        <f t="shared" si="1"/>
        <v>359</v>
      </c>
      <c r="F15" s="1">
        <v>0.42</v>
      </c>
      <c r="G15" s="1" t="str">
        <f t="shared" si="2"/>
        <v>High Discount</v>
      </c>
      <c r="H15">
        <v>6</v>
      </c>
      <c r="I15">
        <v>4.5</v>
      </c>
      <c r="J15" t="str">
        <f t="shared" si="3"/>
        <v>Average</v>
      </c>
    </row>
    <row r="16" spans="1:10" x14ac:dyDescent="0.35">
      <c r="A16" t="s">
        <v>27</v>
      </c>
      <c r="B16" s="3">
        <v>1680</v>
      </c>
      <c r="C16" s="3">
        <v>2499</v>
      </c>
      <c r="D16" s="2" t="str">
        <f t="shared" si="0"/>
        <v>Low Price</v>
      </c>
      <c r="E16" s="2">
        <f t="shared" si="1"/>
        <v>819</v>
      </c>
      <c r="F16" s="1">
        <v>0.33</v>
      </c>
      <c r="G16" s="1" t="str">
        <f t="shared" si="2"/>
        <v>Medium Discount</v>
      </c>
      <c r="H16">
        <v>9</v>
      </c>
      <c r="I16">
        <v>4.2</v>
      </c>
      <c r="J16" t="str">
        <f t="shared" si="3"/>
        <v>Average</v>
      </c>
    </row>
    <row r="17" spans="1:10" x14ac:dyDescent="0.35">
      <c r="A17" t="s">
        <v>29</v>
      </c>
      <c r="B17" s="3">
        <v>332</v>
      </c>
      <c r="C17" s="3">
        <v>684</v>
      </c>
      <c r="D17" s="2" t="str">
        <f t="shared" si="0"/>
        <v>Low Price</v>
      </c>
      <c r="E17" s="2">
        <f t="shared" si="1"/>
        <v>352</v>
      </c>
      <c r="F17" s="1">
        <v>0.51</v>
      </c>
      <c r="G17" s="1" t="str">
        <f t="shared" si="2"/>
        <v>High Discount</v>
      </c>
      <c r="H17">
        <v>2</v>
      </c>
      <c r="I17">
        <v>5</v>
      </c>
      <c r="J17" t="str">
        <f t="shared" si="3"/>
        <v>Excellent</v>
      </c>
    </row>
    <row r="18" spans="1:10" x14ac:dyDescent="0.35">
      <c r="A18" t="s">
        <v>31</v>
      </c>
      <c r="B18" s="3">
        <v>195</v>
      </c>
      <c r="C18" s="3">
        <v>360</v>
      </c>
      <c r="D18" s="2" t="str">
        <f t="shared" si="0"/>
        <v>Low Price</v>
      </c>
      <c r="E18" s="2">
        <f t="shared" si="1"/>
        <v>165</v>
      </c>
      <c r="F18" s="1">
        <v>0.46</v>
      </c>
      <c r="G18" s="1" t="str">
        <f t="shared" si="2"/>
        <v>High Discount</v>
      </c>
      <c r="H18">
        <v>2</v>
      </c>
      <c r="I18">
        <v>5</v>
      </c>
      <c r="J18" t="str">
        <f t="shared" si="3"/>
        <v>Excellent</v>
      </c>
    </row>
    <row r="19" spans="1:10" x14ac:dyDescent="0.35">
      <c r="A19" t="s">
        <v>32</v>
      </c>
      <c r="B19" s="3">
        <v>2025</v>
      </c>
      <c r="C19" s="3">
        <v>3971</v>
      </c>
      <c r="D19" s="2" t="str">
        <f t="shared" si="0"/>
        <v>Medium Price</v>
      </c>
      <c r="E19" s="2">
        <f t="shared" si="1"/>
        <v>1946</v>
      </c>
      <c r="F19" s="1">
        <v>0.49</v>
      </c>
      <c r="G19" s="1" t="str">
        <f t="shared" si="2"/>
        <v>High Discount</v>
      </c>
      <c r="H19">
        <v>3</v>
      </c>
      <c r="I19">
        <v>5</v>
      </c>
      <c r="J19" t="str">
        <f t="shared" si="3"/>
        <v>Excellent</v>
      </c>
    </row>
    <row r="20" spans="1:10" x14ac:dyDescent="0.35">
      <c r="A20" t="s">
        <v>33</v>
      </c>
      <c r="B20" s="3">
        <v>2999</v>
      </c>
      <c r="C20" s="3">
        <v>3699</v>
      </c>
      <c r="D20" s="2" t="str">
        <f t="shared" si="0"/>
        <v>Medium Price</v>
      </c>
      <c r="E20" s="2">
        <f t="shared" si="1"/>
        <v>700</v>
      </c>
      <c r="F20" s="1">
        <v>0.19</v>
      </c>
      <c r="G20" s="1" t="str">
        <f t="shared" si="2"/>
        <v>Low Discount</v>
      </c>
      <c r="H20">
        <v>5</v>
      </c>
      <c r="I20">
        <v>4.5999999999999996</v>
      </c>
      <c r="J20" t="str">
        <f t="shared" si="3"/>
        <v>Excellent</v>
      </c>
    </row>
    <row r="21" spans="1:10" x14ac:dyDescent="0.35">
      <c r="A21" t="s">
        <v>34</v>
      </c>
      <c r="B21" s="3">
        <v>998</v>
      </c>
      <c r="C21" s="3">
        <v>1966</v>
      </c>
      <c r="D21" s="2" t="str">
        <f t="shared" si="0"/>
        <v>Low Price</v>
      </c>
      <c r="E21" s="2">
        <f t="shared" si="1"/>
        <v>968</v>
      </c>
      <c r="F21" s="1">
        <v>0.49</v>
      </c>
      <c r="G21" s="1" t="str">
        <f t="shared" si="2"/>
        <v>High Discount</v>
      </c>
      <c r="H21">
        <v>44</v>
      </c>
      <c r="I21">
        <v>4.5999999999999996</v>
      </c>
      <c r="J21" t="str">
        <f t="shared" si="3"/>
        <v>Excellent</v>
      </c>
    </row>
    <row r="22" spans="1:10" x14ac:dyDescent="0.35">
      <c r="A22" t="s">
        <v>35</v>
      </c>
      <c r="B22" s="3">
        <v>38</v>
      </c>
      <c r="C22" s="3">
        <v>80</v>
      </c>
      <c r="D22" s="2" t="str">
        <f t="shared" si="0"/>
        <v>Low Price</v>
      </c>
      <c r="E22" s="2">
        <f t="shared" si="1"/>
        <v>42</v>
      </c>
      <c r="F22" s="1">
        <v>0.53</v>
      </c>
      <c r="G22" s="1" t="str">
        <f t="shared" si="2"/>
        <v>High Discount</v>
      </c>
      <c r="H22">
        <v>13</v>
      </c>
      <c r="I22">
        <v>3.3</v>
      </c>
      <c r="J22" t="str">
        <f t="shared" si="3"/>
        <v>Average</v>
      </c>
    </row>
    <row r="23" spans="1:10" x14ac:dyDescent="0.35">
      <c r="A23" t="s">
        <v>37</v>
      </c>
      <c r="B23" s="3">
        <v>1860</v>
      </c>
      <c r="C23" s="3">
        <v>3220</v>
      </c>
      <c r="D23" s="2" t="str">
        <f t="shared" si="0"/>
        <v>Low Price</v>
      </c>
      <c r="E23" s="2">
        <f t="shared" si="1"/>
        <v>1360</v>
      </c>
      <c r="F23" s="1">
        <v>0.42</v>
      </c>
      <c r="G23" s="1" t="str">
        <f t="shared" si="2"/>
        <v>High Discount</v>
      </c>
      <c r="H23" t="s">
        <v>38</v>
      </c>
      <c r="I23" t="s">
        <v>38</v>
      </c>
      <c r="J23" t="str">
        <f t="shared" si="3"/>
        <v>Unknown</v>
      </c>
    </row>
    <row r="24" spans="1:10" x14ac:dyDescent="0.35">
      <c r="A24" t="s">
        <v>39</v>
      </c>
      <c r="B24" s="3">
        <v>880</v>
      </c>
      <c r="C24" s="3">
        <v>1350</v>
      </c>
      <c r="D24" s="2" t="str">
        <f t="shared" si="0"/>
        <v>Low Price</v>
      </c>
      <c r="E24" s="2">
        <f t="shared" si="1"/>
        <v>470</v>
      </c>
      <c r="F24" s="1">
        <v>0.35</v>
      </c>
      <c r="G24" s="1" t="str">
        <f t="shared" si="2"/>
        <v>Medium Discount</v>
      </c>
      <c r="H24">
        <v>6</v>
      </c>
      <c r="I24">
        <v>4</v>
      </c>
      <c r="J24" t="str">
        <f t="shared" si="3"/>
        <v>Average</v>
      </c>
    </row>
    <row r="25" spans="1:10" x14ac:dyDescent="0.35">
      <c r="A25" t="s">
        <v>40</v>
      </c>
      <c r="B25" s="3">
        <v>1650</v>
      </c>
      <c r="C25" s="3">
        <v>2150</v>
      </c>
      <c r="D25" s="2" t="str">
        <f t="shared" si="0"/>
        <v>Low Price</v>
      </c>
      <c r="E25" s="2">
        <f t="shared" si="1"/>
        <v>500</v>
      </c>
      <c r="F25" s="1">
        <v>0.23</v>
      </c>
      <c r="G25" s="1" t="str">
        <f t="shared" si="2"/>
        <v>Medium Discount</v>
      </c>
      <c r="H25">
        <v>14</v>
      </c>
      <c r="I25">
        <v>4.4000000000000004</v>
      </c>
      <c r="J25" t="str">
        <f t="shared" si="3"/>
        <v>Average</v>
      </c>
    </row>
    <row r="26" spans="1:10" x14ac:dyDescent="0.35">
      <c r="A26" t="s">
        <v>42</v>
      </c>
      <c r="B26" s="3">
        <v>2048</v>
      </c>
      <c r="C26" s="3">
        <v>4500</v>
      </c>
      <c r="D26" s="2" t="str">
        <f t="shared" si="0"/>
        <v>Medium Price</v>
      </c>
      <c r="E26" s="2">
        <f t="shared" si="1"/>
        <v>2452</v>
      </c>
      <c r="F26" s="1">
        <v>0.54</v>
      </c>
      <c r="G26" s="1" t="str">
        <f t="shared" si="2"/>
        <v>High Discount</v>
      </c>
      <c r="H26">
        <v>7</v>
      </c>
      <c r="I26">
        <v>4.3</v>
      </c>
      <c r="J26" t="str">
        <f t="shared" si="3"/>
        <v>Average</v>
      </c>
    </row>
    <row r="27" spans="1:10" x14ac:dyDescent="0.35">
      <c r="A27" t="s">
        <v>44</v>
      </c>
      <c r="B27" s="3">
        <v>420</v>
      </c>
      <c r="C27" s="3">
        <v>647</v>
      </c>
      <c r="D27" s="2" t="str">
        <f t="shared" si="0"/>
        <v>Low Price</v>
      </c>
      <c r="E27" s="2">
        <f t="shared" si="1"/>
        <v>227</v>
      </c>
      <c r="F27" s="1">
        <v>0.35</v>
      </c>
      <c r="G27" s="1" t="str">
        <f t="shared" si="2"/>
        <v>Medium Discount</v>
      </c>
      <c r="H27">
        <v>49</v>
      </c>
      <c r="I27">
        <v>4.5999999999999996</v>
      </c>
      <c r="J27" t="str">
        <f t="shared" si="3"/>
        <v>Excellent</v>
      </c>
    </row>
    <row r="28" spans="1:10" x14ac:dyDescent="0.35">
      <c r="A28" t="s">
        <v>45</v>
      </c>
      <c r="B28" s="3">
        <v>2880</v>
      </c>
      <c r="C28" s="3">
        <v>3520</v>
      </c>
      <c r="D28" s="2" t="str">
        <f t="shared" si="0"/>
        <v>Medium Price</v>
      </c>
      <c r="E28" s="2">
        <f t="shared" si="1"/>
        <v>640</v>
      </c>
      <c r="F28" s="1">
        <v>0.18</v>
      </c>
      <c r="G28" s="1" t="str">
        <f t="shared" si="2"/>
        <v>Low Discount</v>
      </c>
      <c r="H28">
        <v>12</v>
      </c>
      <c r="I28">
        <v>3.8</v>
      </c>
      <c r="J28" t="str">
        <f t="shared" si="3"/>
        <v>Average</v>
      </c>
    </row>
    <row r="29" spans="1:10" x14ac:dyDescent="0.35">
      <c r="A29" t="s">
        <v>46</v>
      </c>
      <c r="B29" s="3">
        <v>1350</v>
      </c>
      <c r="C29" s="3">
        <v>1990</v>
      </c>
      <c r="D29" s="2" t="str">
        <f t="shared" si="0"/>
        <v>Low Price</v>
      </c>
      <c r="E29" s="2">
        <f t="shared" si="1"/>
        <v>640</v>
      </c>
      <c r="F29" s="1">
        <v>0.32</v>
      </c>
      <c r="G29" s="1" t="str">
        <f t="shared" si="2"/>
        <v>Medium Discount</v>
      </c>
      <c r="H29">
        <v>13</v>
      </c>
      <c r="I29">
        <v>3.8</v>
      </c>
      <c r="J29" t="str">
        <f t="shared" si="3"/>
        <v>Average</v>
      </c>
    </row>
    <row r="30" spans="1:10" x14ac:dyDescent="0.35">
      <c r="A30" t="s">
        <v>47</v>
      </c>
      <c r="B30" s="3">
        <v>1758</v>
      </c>
      <c r="C30" s="3">
        <v>2499</v>
      </c>
      <c r="D30" s="2" t="str">
        <f t="shared" si="0"/>
        <v>Low Price</v>
      </c>
      <c r="E30" s="2">
        <f t="shared" si="1"/>
        <v>741</v>
      </c>
      <c r="F30" s="1">
        <v>0.3</v>
      </c>
      <c r="G30" s="1" t="str">
        <f t="shared" si="2"/>
        <v>Medium Discount</v>
      </c>
      <c r="H30">
        <v>20</v>
      </c>
      <c r="I30">
        <v>4.0999999999999996</v>
      </c>
      <c r="J30" t="str">
        <f t="shared" si="3"/>
        <v>Average</v>
      </c>
    </row>
    <row r="31" spans="1:10" x14ac:dyDescent="0.35">
      <c r="A31" t="s">
        <v>48</v>
      </c>
      <c r="B31" s="3">
        <v>2200</v>
      </c>
      <c r="C31" s="3">
        <v>4080</v>
      </c>
      <c r="D31" s="2" t="str">
        <f t="shared" si="0"/>
        <v>Medium Price</v>
      </c>
      <c r="E31" s="2">
        <f t="shared" si="1"/>
        <v>1880</v>
      </c>
      <c r="F31" s="1">
        <v>0.46</v>
      </c>
      <c r="G31" s="1" t="str">
        <f t="shared" si="2"/>
        <v>High Discount</v>
      </c>
      <c r="H31" t="s">
        <v>38</v>
      </c>
      <c r="I31" t="s">
        <v>38</v>
      </c>
      <c r="J31" t="str">
        <f t="shared" si="3"/>
        <v>Unknown</v>
      </c>
    </row>
    <row r="32" spans="1:10" x14ac:dyDescent="0.35">
      <c r="A32" t="s">
        <v>49</v>
      </c>
      <c r="B32" s="3">
        <v>185</v>
      </c>
      <c r="C32" s="3">
        <v>382</v>
      </c>
      <c r="D32" s="2" t="str">
        <f t="shared" si="0"/>
        <v>Low Price</v>
      </c>
      <c r="E32" s="2">
        <f t="shared" si="1"/>
        <v>197</v>
      </c>
      <c r="F32" s="1">
        <v>0.52</v>
      </c>
      <c r="G32" s="1" t="str">
        <f t="shared" si="2"/>
        <v>High Discount</v>
      </c>
      <c r="H32">
        <v>9</v>
      </c>
      <c r="I32">
        <v>4.3</v>
      </c>
      <c r="J32" t="str">
        <f t="shared" si="3"/>
        <v>Average</v>
      </c>
    </row>
    <row r="33" spans="1:10" x14ac:dyDescent="0.35">
      <c r="A33" t="s">
        <v>50</v>
      </c>
      <c r="B33" s="3">
        <v>980</v>
      </c>
      <c r="C33" s="3">
        <v>1490</v>
      </c>
      <c r="D33" s="2" t="str">
        <f t="shared" si="0"/>
        <v>Low Price</v>
      </c>
      <c r="E33" s="2">
        <f t="shared" si="1"/>
        <v>510</v>
      </c>
      <c r="F33" s="1">
        <v>0.34</v>
      </c>
      <c r="G33" s="1" t="str">
        <f t="shared" si="2"/>
        <v>Medium Discount</v>
      </c>
      <c r="H33">
        <v>12</v>
      </c>
      <c r="I33">
        <v>4.7</v>
      </c>
      <c r="J33" t="str">
        <f t="shared" si="3"/>
        <v>Excellent</v>
      </c>
    </row>
    <row r="34" spans="1:10" x14ac:dyDescent="0.35">
      <c r="A34" t="s">
        <v>51</v>
      </c>
      <c r="B34" s="3">
        <v>1820</v>
      </c>
      <c r="C34" s="3">
        <v>3490</v>
      </c>
      <c r="D34" s="2" t="str">
        <f t="shared" si="0"/>
        <v>Low Price</v>
      </c>
      <c r="E34" s="2">
        <f t="shared" si="1"/>
        <v>1670</v>
      </c>
      <c r="F34" s="1">
        <v>0.48</v>
      </c>
      <c r="G34" s="1" t="str">
        <f t="shared" si="2"/>
        <v>High Discount</v>
      </c>
      <c r="H34">
        <v>9</v>
      </c>
      <c r="I34">
        <v>4.3</v>
      </c>
      <c r="J34" t="str">
        <f t="shared" si="3"/>
        <v>Average</v>
      </c>
    </row>
    <row r="35" spans="1:10" x14ac:dyDescent="0.35">
      <c r="A35" t="s">
        <v>52</v>
      </c>
      <c r="B35" s="3">
        <v>1940</v>
      </c>
      <c r="C35" s="3">
        <v>2650</v>
      </c>
      <c r="D35" s="2" t="str">
        <f t="shared" si="0"/>
        <v>Low Price</v>
      </c>
      <c r="E35" s="2">
        <f t="shared" si="1"/>
        <v>710</v>
      </c>
      <c r="F35" s="1">
        <v>0.27</v>
      </c>
      <c r="G35" s="1" t="str">
        <f t="shared" si="2"/>
        <v>Medium Discount</v>
      </c>
      <c r="H35">
        <v>20</v>
      </c>
      <c r="I35">
        <v>4.7</v>
      </c>
      <c r="J35" t="str">
        <f t="shared" si="3"/>
        <v>Excellent</v>
      </c>
    </row>
    <row r="36" spans="1:10" x14ac:dyDescent="0.35">
      <c r="A36" t="s">
        <v>53</v>
      </c>
      <c r="B36" s="3">
        <v>1980</v>
      </c>
      <c r="C36" s="3">
        <v>2699</v>
      </c>
      <c r="D36" s="2" t="str">
        <f t="shared" si="0"/>
        <v>Low Price</v>
      </c>
      <c r="E36" s="2">
        <f t="shared" si="1"/>
        <v>719</v>
      </c>
      <c r="F36" s="1">
        <v>0.27</v>
      </c>
      <c r="G36" s="1" t="str">
        <f t="shared" si="2"/>
        <v>Medium Discount</v>
      </c>
      <c r="H36">
        <v>32</v>
      </c>
      <c r="I36">
        <v>4.5</v>
      </c>
      <c r="J36" t="str">
        <f t="shared" si="3"/>
        <v>Average</v>
      </c>
    </row>
    <row r="37" spans="1:10" x14ac:dyDescent="0.35">
      <c r="A37" t="s">
        <v>54</v>
      </c>
      <c r="B37" s="3">
        <v>1620</v>
      </c>
      <c r="C37" s="3">
        <v>2690</v>
      </c>
      <c r="D37" s="2" t="str">
        <f t="shared" si="0"/>
        <v>Low Price</v>
      </c>
      <c r="E37" s="2">
        <f t="shared" si="1"/>
        <v>1070</v>
      </c>
      <c r="F37" s="1">
        <v>0.4</v>
      </c>
      <c r="G37" s="1" t="str">
        <f t="shared" si="2"/>
        <v>Medium Discount</v>
      </c>
      <c r="H37">
        <v>1</v>
      </c>
      <c r="I37">
        <v>5</v>
      </c>
      <c r="J37" t="str">
        <f t="shared" si="3"/>
        <v>Excellent</v>
      </c>
    </row>
    <row r="38" spans="1:10" x14ac:dyDescent="0.35">
      <c r="A38" t="s">
        <v>55</v>
      </c>
      <c r="B38" s="3">
        <v>171</v>
      </c>
      <c r="C38" s="3">
        <v>360</v>
      </c>
      <c r="D38" s="2" t="str">
        <f t="shared" si="0"/>
        <v>Low Price</v>
      </c>
      <c r="E38" s="2">
        <f t="shared" si="1"/>
        <v>189</v>
      </c>
      <c r="F38" s="1">
        <v>0.53</v>
      </c>
      <c r="G38" s="1" t="str">
        <f t="shared" si="2"/>
        <v>High Discount</v>
      </c>
      <c r="H38">
        <v>2</v>
      </c>
      <c r="I38">
        <v>5</v>
      </c>
      <c r="J38" t="str">
        <f t="shared" si="3"/>
        <v>Excellent</v>
      </c>
    </row>
    <row r="39" spans="1:10" x14ac:dyDescent="0.35">
      <c r="A39" t="s">
        <v>56</v>
      </c>
      <c r="B39" s="3">
        <v>389</v>
      </c>
      <c r="C39" s="3">
        <v>656</v>
      </c>
      <c r="D39" s="2" t="str">
        <f t="shared" si="0"/>
        <v>Low Price</v>
      </c>
      <c r="E39" s="2">
        <f t="shared" si="1"/>
        <v>267</v>
      </c>
      <c r="F39" s="1">
        <v>0.41</v>
      </c>
      <c r="G39" s="1" t="str">
        <f t="shared" si="2"/>
        <v>High Discount</v>
      </c>
      <c r="H39">
        <v>36</v>
      </c>
      <c r="I39">
        <v>4.3</v>
      </c>
      <c r="J39" t="str">
        <f t="shared" si="3"/>
        <v>Average</v>
      </c>
    </row>
    <row r="40" spans="1:10" x14ac:dyDescent="0.35">
      <c r="A40" t="s">
        <v>57</v>
      </c>
      <c r="B40" s="3">
        <f>AVERAGE(1620,1980)</f>
        <v>1800</v>
      </c>
      <c r="C40" s="3">
        <f>AVERAGE(2200,3200)</f>
        <v>2700</v>
      </c>
      <c r="D40" s="2" t="str">
        <f t="shared" si="0"/>
        <v>Low Price</v>
      </c>
      <c r="E40" s="2">
        <f t="shared" si="1"/>
        <v>900</v>
      </c>
      <c r="F40" s="1">
        <v>0.38</v>
      </c>
      <c r="G40" s="1" t="str">
        <f t="shared" si="2"/>
        <v>Medium Discount</v>
      </c>
      <c r="H40">
        <v>2</v>
      </c>
      <c r="I40">
        <v>4.5</v>
      </c>
      <c r="J40" t="str">
        <f t="shared" si="3"/>
        <v>Average</v>
      </c>
    </row>
    <row r="41" spans="1:10" x14ac:dyDescent="0.35">
      <c r="A41" t="s">
        <v>60</v>
      </c>
      <c r="B41" s="3">
        <v>2750</v>
      </c>
      <c r="C41" s="3">
        <v>4471</v>
      </c>
      <c r="D41" s="2" t="str">
        <f t="shared" si="0"/>
        <v>Medium Price</v>
      </c>
      <c r="E41" s="2">
        <f t="shared" si="1"/>
        <v>1721</v>
      </c>
      <c r="F41" s="1">
        <v>0.38</v>
      </c>
      <c r="G41" s="1" t="str">
        <f t="shared" si="2"/>
        <v>Medium Discount</v>
      </c>
      <c r="H41" t="s">
        <v>38</v>
      </c>
      <c r="I41" t="s">
        <v>38</v>
      </c>
      <c r="J41" t="str">
        <f t="shared" si="3"/>
        <v>Unknown</v>
      </c>
    </row>
    <row r="42" spans="1:10" x14ac:dyDescent="0.35">
      <c r="A42" t="s">
        <v>61</v>
      </c>
      <c r="B42" s="3">
        <v>475</v>
      </c>
      <c r="C42" s="3">
        <v>931</v>
      </c>
      <c r="D42" s="2" t="str">
        <f t="shared" si="0"/>
        <v>Low Price</v>
      </c>
      <c r="E42" s="2">
        <f t="shared" si="1"/>
        <v>456</v>
      </c>
      <c r="F42" s="1">
        <v>0.49</v>
      </c>
      <c r="G42" s="1" t="str">
        <f t="shared" si="2"/>
        <v>High Discount</v>
      </c>
      <c r="H42" t="s">
        <v>38</v>
      </c>
      <c r="I42" t="s">
        <v>38</v>
      </c>
      <c r="J42" t="str">
        <f t="shared" si="3"/>
        <v>Unknown</v>
      </c>
    </row>
    <row r="43" spans="1:10" x14ac:dyDescent="0.35">
      <c r="A43" t="s">
        <v>62</v>
      </c>
      <c r="B43" s="3">
        <v>238</v>
      </c>
      <c r="C43" s="3">
        <v>476</v>
      </c>
      <c r="D43" s="2" t="str">
        <f t="shared" si="0"/>
        <v>Low Price</v>
      </c>
      <c r="E43" s="2">
        <f t="shared" si="1"/>
        <v>238</v>
      </c>
      <c r="F43" s="1">
        <v>0.5</v>
      </c>
      <c r="G43" s="1" t="str">
        <f t="shared" si="2"/>
        <v>High Discount</v>
      </c>
      <c r="H43" t="s">
        <v>38</v>
      </c>
      <c r="I43" t="s">
        <v>38</v>
      </c>
      <c r="J43" t="str">
        <f t="shared" si="3"/>
        <v>Unknown</v>
      </c>
    </row>
    <row r="44" spans="1:10" x14ac:dyDescent="0.35">
      <c r="A44" t="s">
        <v>63</v>
      </c>
      <c r="B44" s="3">
        <v>610</v>
      </c>
      <c r="C44" s="3">
        <v>1060</v>
      </c>
      <c r="D44" s="2" t="str">
        <f t="shared" si="0"/>
        <v>Low Price</v>
      </c>
      <c r="E44" s="2">
        <f t="shared" si="1"/>
        <v>450</v>
      </c>
      <c r="F44" s="1">
        <v>0.42</v>
      </c>
      <c r="G44" s="1" t="str">
        <f t="shared" si="2"/>
        <v>High Discount</v>
      </c>
      <c r="H44" t="s">
        <v>38</v>
      </c>
      <c r="I44" t="s">
        <v>38</v>
      </c>
      <c r="J44" t="str">
        <f t="shared" si="3"/>
        <v>Unknown</v>
      </c>
    </row>
    <row r="45" spans="1:10" x14ac:dyDescent="0.35">
      <c r="A45" t="s">
        <v>64</v>
      </c>
      <c r="B45" s="3">
        <v>2132</v>
      </c>
      <c r="C45" s="3">
        <v>2169</v>
      </c>
      <c r="D45" s="2" t="str">
        <f t="shared" si="0"/>
        <v>Medium Price</v>
      </c>
      <c r="E45" s="2">
        <f t="shared" si="1"/>
        <v>37</v>
      </c>
      <c r="F45" s="1">
        <v>0.02</v>
      </c>
      <c r="G45" s="1" t="str">
        <f t="shared" si="2"/>
        <v>Low Discount</v>
      </c>
      <c r="H45" t="s">
        <v>38</v>
      </c>
      <c r="I45" t="s">
        <v>38</v>
      </c>
      <c r="J45" t="str">
        <f t="shared" si="3"/>
        <v>Unknown</v>
      </c>
    </row>
    <row r="46" spans="1:10" x14ac:dyDescent="0.35">
      <c r="A46" t="s">
        <v>65</v>
      </c>
      <c r="B46" s="3">
        <v>999</v>
      </c>
      <c r="C46" s="3">
        <v>2000</v>
      </c>
      <c r="D46" s="2" t="str">
        <f t="shared" si="0"/>
        <v>Low Price</v>
      </c>
      <c r="E46" s="2">
        <f t="shared" si="1"/>
        <v>1001</v>
      </c>
      <c r="F46" s="1">
        <v>0.5</v>
      </c>
      <c r="G46" s="1" t="str">
        <f t="shared" si="2"/>
        <v>High Discount</v>
      </c>
      <c r="H46" t="s">
        <v>38</v>
      </c>
      <c r="I46" t="s">
        <v>38</v>
      </c>
      <c r="J46" t="str">
        <f t="shared" si="3"/>
        <v>Unknown</v>
      </c>
    </row>
    <row r="47" spans="1:10" x14ac:dyDescent="0.35">
      <c r="A47" t="s">
        <v>66</v>
      </c>
      <c r="B47" s="3">
        <v>1190</v>
      </c>
      <c r="C47" s="3">
        <v>1785</v>
      </c>
      <c r="D47" s="2" t="str">
        <f t="shared" si="0"/>
        <v>Low Price</v>
      </c>
      <c r="E47" s="2">
        <f t="shared" si="1"/>
        <v>595</v>
      </c>
      <c r="F47" s="1">
        <v>0.33</v>
      </c>
      <c r="G47" s="1" t="str">
        <f t="shared" si="2"/>
        <v>Medium Discount</v>
      </c>
      <c r="H47" t="s">
        <v>38</v>
      </c>
      <c r="I47" t="s">
        <v>38</v>
      </c>
      <c r="J47" t="str">
        <f t="shared" si="3"/>
        <v>Unknown</v>
      </c>
    </row>
    <row r="48" spans="1:10" x14ac:dyDescent="0.35">
      <c r="A48" t="s">
        <v>67</v>
      </c>
      <c r="B48" s="3">
        <v>671</v>
      </c>
      <c r="C48" s="3">
        <v>1316</v>
      </c>
      <c r="D48" s="2" t="str">
        <f t="shared" si="0"/>
        <v>Low Price</v>
      </c>
      <c r="E48" s="2">
        <f t="shared" si="1"/>
        <v>645</v>
      </c>
      <c r="F48" s="1">
        <v>0.49</v>
      </c>
      <c r="G48" s="1" t="str">
        <f t="shared" si="2"/>
        <v>High Discount</v>
      </c>
      <c r="H48" t="s">
        <v>38</v>
      </c>
      <c r="I48" t="s">
        <v>38</v>
      </c>
      <c r="J48" t="str">
        <f t="shared" si="3"/>
        <v>Unknown</v>
      </c>
    </row>
    <row r="49" spans="1:10" x14ac:dyDescent="0.35">
      <c r="A49" t="s">
        <v>68</v>
      </c>
      <c r="B49" s="3">
        <v>1200</v>
      </c>
      <c r="C49" s="3">
        <v>1950</v>
      </c>
      <c r="D49" s="2" t="str">
        <f t="shared" si="0"/>
        <v>Low Price</v>
      </c>
      <c r="E49" s="2">
        <f t="shared" si="1"/>
        <v>750</v>
      </c>
      <c r="F49" s="1">
        <v>0.38</v>
      </c>
      <c r="G49" s="1" t="str">
        <f t="shared" si="2"/>
        <v>Medium Discount</v>
      </c>
      <c r="H49" t="s">
        <v>38</v>
      </c>
      <c r="I49" t="s">
        <v>38</v>
      </c>
      <c r="J49" t="str">
        <f t="shared" si="3"/>
        <v>Unknown</v>
      </c>
    </row>
    <row r="50" spans="1:10" x14ac:dyDescent="0.35">
      <c r="A50" t="s">
        <v>69</v>
      </c>
      <c r="B50" s="3">
        <v>199</v>
      </c>
      <c r="C50" s="3">
        <v>504</v>
      </c>
      <c r="D50" s="2" t="str">
        <f t="shared" si="0"/>
        <v>Low Price</v>
      </c>
      <c r="E50" s="2">
        <f t="shared" si="1"/>
        <v>305</v>
      </c>
      <c r="F50" s="1">
        <v>0.61</v>
      </c>
      <c r="G50" s="1" t="str">
        <f t="shared" si="2"/>
        <v>High Discount</v>
      </c>
      <c r="H50" t="s">
        <v>38</v>
      </c>
      <c r="I50" t="s">
        <v>38</v>
      </c>
      <c r="J50" t="str">
        <f t="shared" si="3"/>
        <v>Unknown</v>
      </c>
    </row>
    <row r="51" spans="1:10" x14ac:dyDescent="0.35">
      <c r="A51" t="s">
        <v>70</v>
      </c>
      <c r="B51" s="3">
        <v>299</v>
      </c>
      <c r="C51" s="3">
        <v>600</v>
      </c>
      <c r="D51" s="2" t="str">
        <f t="shared" si="0"/>
        <v>Low Price</v>
      </c>
      <c r="E51" s="2">
        <f t="shared" si="1"/>
        <v>301</v>
      </c>
      <c r="F51" s="1">
        <v>0.5</v>
      </c>
      <c r="G51" s="1" t="str">
        <f t="shared" si="2"/>
        <v>High Discount</v>
      </c>
      <c r="H51" t="s">
        <v>38</v>
      </c>
      <c r="I51" t="s">
        <v>38</v>
      </c>
      <c r="J51" t="str">
        <f t="shared" si="3"/>
        <v>Unknown</v>
      </c>
    </row>
    <row r="52" spans="1:10" x14ac:dyDescent="0.35">
      <c r="A52" t="s">
        <v>71</v>
      </c>
      <c r="B52" s="3">
        <v>1660</v>
      </c>
      <c r="C52" s="3">
        <v>1699</v>
      </c>
      <c r="D52" s="2" t="str">
        <f t="shared" si="0"/>
        <v>Low Price</v>
      </c>
      <c r="E52" s="2">
        <f t="shared" si="1"/>
        <v>39</v>
      </c>
      <c r="F52" s="1">
        <v>0.02</v>
      </c>
      <c r="G52" s="1" t="str">
        <f t="shared" si="2"/>
        <v>Low Discount</v>
      </c>
      <c r="H52" t="s">
        <v>38</v>
      </c>
      <c r="I52" t="s">
        <v>38</v>
      </c>
      <c r="J52" t="str">
        <f t="shared" si="3"/>
        <v>Unknown</v>
      </c>
    </row>
    <row r="53" spans="1:10" x14ac:dyDescent="0.35">
      <c r="A53" t="s">
        <v>72</v>
      </c>
      <c r="B53" s="3">
        <v>299</v>
      </c>
      <c r="C53" s="3">
        <v>384</v>
      </c>
      <c r="D53" s="2" t="str">
        <f t="shared" si="0"/>
        <v>Low Price</v>
      </c>
      <c r="E53" s="2">
        <f t="shared" si="1"/>
        <v>85</v>
      </c>
      <c r="F53" s="1">
        <v>0.22</v>
      </c>
      <c r="G53" s="1" t="str">
        <f t="shared" si="2"/>
        <v>Medium Discount</v>
      </c>
      <c r="H53" t="s">
        <v>38</v>
      </c>
      <c r="I53" t="s">
        <v>38</v>
      </c>
      <c r="J53" t="str">
        <f t="shared" si="3"/>
        <v>Unknown</v>
      </c>
    </row>
    <row r="54" spans="1:10" x14ac:dyDescent="0.35">
      <c r="A54" t="s">
        <v>73</v>
      </c>
      <c r="B54" s="3">
        <v>1459</v>
      </c>
      <c r="C54" s="3">
        <v>1499</v>
      </c>
      <c r="D54" s="2" t="str">
        <f t="shared" si="0"/>
        <v>Low Price</v>
      </c>
      <c r="E54" s="2">
        <f t="shared" si="1"/>
        <v>40</v>
      </c>
      <c r="F54" s="1">
        <v>0.03</v>
      </c>
      <c r="G54" s="1" t="str">
        <f t="shared" si="2"/>
        <v>Low Discount</v>
      </c>
      <c r="H54" t="s">
        <v>38</v>
      </c>
      <c r="I54" t="s">
        <v>38</v>
      </c>
      <c r="J54" t="str">
        <f t="shared" si="3"/>
        <v>Unknown</v>
      </c>
    </row>
    <row r="55" spans="1:10" x14ac:dyDescent="0.35">
      <c r="A55" t="s">
        <v>74</v>
      </c>
      <c r="B55" s="3">
        <v>799</v>
      </c>
      <c r="C55" s="3">
        <v>1343</v>
      </c>
      <c r="D55" s="2" t="str">
        <f t="shared" si="0"/>
        <v>Low Price</v>
      </c>
      <c r="E55" s="2">
        <f t="shared" si="1"/>
        <v>544</v>
      </c>
      <c r="F55" s="1">
        <v>0.41</v>
      </c>
      <c r="G55" s="1" t="str">
        <f t="shared" si="2"/>
        <v>High Discount</v>
      </c>
      <c r="H55" t="s">
        <v>38</v>
      </c>
      <c r="I55" t="s">
        <v>38</v>
      </c>
      <c r="J55" t="str">
        <f t="shared" si="3"/>
        <v>Unknown</v>
      </c>
    </row>
    <row r="56" spans="1:10" x14ac:dyDescent="0.35">
      <c r="A56" t="s">
        <v>75</v>
      </c>
      <c r="B56" s="3">
        <v>499</v>
      </c>
      <c r="C56" s="3">
        <v>900</v>
      </c>
      <c r="D56" s="2" t="str">
        <f t="shared" si="0"/>
        <v>Low Price</v>
      </c>
      <c r="E56" s="2">
        <f t="shared" si="1"/>
        <v>401</v>
      </c>
      <c r="F56" s="1">
        <v>0.45</v>
      </c>
      <c r="G56" s="1" t="str">
        <f t="shared" si="2"/>
        <v>High Discount</v>
      </c>
      <c r="H56" t="s">
        <v>38</v>
      </c>
      <c r="I56" t="s">
        <v>38</v>
      </c>
      <c r="J56" t="str">
        <f t="shared" si="3"/>
        <v>Unknown</v>
      </c>
    </row>
    <row r="57" spans="1:10" x14ac:dyDescent="0.35">
      <c r="A57" t="s">
        <v>76</v>
      </c>
      <c r="B57" s="3">
        <v>699</v>
      </c>
      <c r="C57" s="3">
        <v>1343</v>
      </c>
      <c r="D57" s="2" t="str">
        <f t="shared" si="0"/>
        <v>Low Price</v>
      </c>
      <c r="E57" s="2">
        <f t="shared" si="1"/>
        <v>644</v>
      </c>
      <c r="F57" s="1">
        <v>0.48</v>
      </c>
      <c r="G57" s="1" t="str">
        <f t="shared" si="2"/>
        <v>High Discount</v>
      </c>
      <c r="H57" t="s">
        <v>38</v>
      </c>
      <c r="I57" t="s">
        <v>38</v>
      </c>
      <c r="J57" t="str">
        <f t="shared" si="3"/>
        <v>Unknown</v>
      </c>
    </row>
    <row r="58" spans="1:10" x14ac:dyDescent="0.35">
      <c r="A58" t="s">
        <v>77</v>
      </c>
      <c r="B58" s="3">
        <v>799</v>
      </c>
      <c r="C58" s="3">
        <v>1567</v>
      </c>
      <c r="D58" s="2" t="str">
        <f t="shared" si="0"/>
        <v>Low Price</v>
      </c>
      <c r="E58" s="2">
        <f t="shared" si="1"/>
        <v>768</v>
      </c>
      <c r="F58" s="1">
        <v>0.49</v>
      </c>
      <c r="G58" s="1" t="str">
        <f t="shared" si="2"/>
        <v>High Discount</v>
      </c>
      <c r="H58" t="s">
        <v>38</v>
      </c>
      <c r="I58" t="s">
        <v>38</v>
      </c>
      <c r="J58" t="str">
        <f t="shared" si="3"/>
        <v>Unknown</v>
      </c>
    </row>
    <row r="59" spans="1:10" x14ac:dyDescent="0.35">
      <c r="A59" t="s">
        <v>78</v>
      </c>
      <c r="B59" s="3">
        <v>2799</v>
      </c>
      <c r="C59" s="3">
        <v>3810</v>
      </c>
      <c r="D59" s="2" t="str">
        <f t="shared" si="0"/>
        <v>Medium Price</v>
      </c>
      <c r="E59" s="2">
        <f t="shared" si="1"/>
        <v>1011</v>
      </c>
      <c r="F59" s="1">
        <v>0.27</v>
      </c>
      <c r="G59" s="1" t="str">
        <f t="shared" si="2"/>
        <v>Medium Discount</v>
      </c>
      <c r="H59" t="s">
        <v>38</v>
      </c>
      <c r="I59" t="s">
        <v>38</v>
      </c>
      <c r="J59" t="str">
        <f t="shared" si="3"/>
        <v>Unknown</v>
      </c>
    </row>
    <row r="60" spans="1:10" x14ac:dyDescent="0.35">
      <c r="A60" t="s">
        <v>75</v>
      </c>
      <c r="B60" s="3">
        <v>399</v>
      </c>
      <c r="C60" s="3">
        <v>896</v>
      </c>
      <c r="D60" s="2" t="str">
        <f t="shared" si="0"/>
        <v>Low Price</v>
      </c>
      <c r="E60" s="2">
        <f t="shared" si="1"/>
        <v>497</v>
      </c>
      <c r="F60" s="1">
        <v>0.55000000000000004</v>
      </c>
      <c r="G60" s="1" t="str">
        <f t="shared" si="2"/>
        <v>High Discount</v>
      </c>
      <c r="H60" t="s">
        <v>38</v>
      </c>
      <c r="I60" t="s">
        <v>38</v>
      </c>
      <c r="J60" t="str">
        <f t="shared" si="3"/>
        <v>Unknown</v>
      </c>
    </row>
    <row r="61" spans="1:10" x14ac:dyDescent="0.35">
      <c r="A61" t="s">
        <v>79</v>
      </c>
      <c r="B61" s="3">
        <v>2170</v>
      </c>
      <c r="C61" s="3">
        <v>2500</v>
      </c>
      <c r="D61" s="2" t="str">
        <f t="shared" si="0"/>
        <v>Medium Price</v>
      </c>
      <c r="E61" s="2">
        <f t="shared" si="1"/>
        <v>330</v>
      </c>
      <c r="F61" s="1">
        <v>0.13</v>
      </c>
      <c r="G61" s="1" t="str">
        <f t="shared" si="2"/>
        <v>Low Discount</v>
      </c>
      <c r="H61">
        <v>6</v>
      </c>
      <c r="I61">
        <v>2.5</v>
      </c>
      <c r="J61" t="str">
        <f t="shared" si="3"/>
        <v>Poor</v>
      </c>
    </row>
    <row r="62" spans="1:10" x14ac:dyDescent="0.35">
      <c r="A62" t="s">
        <v>81</v>
      </c>
      <c r="B62" s="3">
        <v>458</v>
      </c>
      <c r="C62" s="3">
        <v>986</v>
      </c>
      <c r="D62" s="2" t="str">
        <f t="shared" si="0"/>
        <v>Low Price</v>
      </c>
      <c r="E62" s="2">
        <f t="shared" si="1"/>
        <v>528</v>
      </c>
      <c r="F62" s="1">
        <v>0.54</v>
      </c>
      <c r="G62" s="1" t="str">
        <f t="shared" si="2"/>
        <v>High Discount</v>
      </c>
      <c r="H62">
        <v>10</v>
      </c>
      <c r="I62">
        <v>3</v>
      </c>
      <c r="J62" t="str">
        <f t="shared" si="3"/>
        <v>Average</v>
      </c>
    </row>
    <row r="63" spans="1:10" x14ac:dyDescent="0.35">
      <c r="A63" t="s">
        <v>83</v>
      </c>
      <c r="B63" s="3">
        <v>2115</v>
      </c>
      <c r="C63" s="3">
        <v>4700</v>
      </c>
      <c r="D63" s="2" t="str">
        <f t="shared" si="0"/>
        <v>Medium Price</v>
      </c>
      <c r="E63" s="2">
        <f t="shared" si="1"/>
        <v>2585</v>
      </c>
      <c r="F63" s="1">
        <v>0.55000000000000004</v>
      </c>
      <c r="G63" s="1" t="str">
        <f t="shared" si="2"/>
        <v>High Discount</v>
      </c>
      <c r="H63">
        <v>13</v>
      </c>
      <c r="I63">
        <v>2.1</v>
      </c>
      <c r="J63" t="str">
        <f t="shared" si="3"/>
        <v>Poor</v>
      </c>
    </row>
    <row r="64" spans="1:10" x14ac:dyDescent="0.35">
      <c r="A64" t="s">
        <v>85</v>
      </c>
      <c r="B64" s="3">
        <v>445</v>
      </c>
      <c r="C64" s="3">
        <v>873</v>
      </c>
      <c r="D64" s="2" t="str">
        <f t="shared" si="0"/>
        <v>Low Price</v>
      </c>
      <c r="E64" s="2">
        <f t="shared" si="1"/>
        <v>428</v>
      </c>
      <c r="F64" s="1">
        <v>0.49</v>
      </c>
      <c r="G64" s="1" t="str">
        <f t="shared" si="2"/>
        <v>High Discount</v>
      </c>
      <c r="H64">
        <v>69</v>
      </c>
      <c r="I64">
        <v>2.8</v>
      </c>
      <c r="J64" t="str">
        <f t="shared" si="3"/>
        <v>Poor</v>
      </c>
    </row>
    <row r="65" spans="1:10" x14ac:dyDescent="0.35">
      <c r="A65" t="s">
        <v>87</v>
      </c>
      <c r="B65" s="3">
        <v>325</v>
      </c>
      <c r="C65" s="3">
        <v>680</v>
      </c>
      <c r="D65" s="2" t="str">
        <f t="shared" si="0"/>
        <v>Low Price</v>
      </c>
      <c r="E65" s="2">
        <f t="shared" si="1"/>
        <v>355</v>
      </c>
      <c r="F65" s="1">
        <v>0.52</v>
      </c>
      <c r="G65" s="1" t="str">
        <f t="shared" si="2"/>
        <v>High Discount</v>
      </c>
      <c r="H65">
        <v>15</v>
      </c>
      <c r="I65">
        <v>2.7</v>
      </c>
      <c r="J65" t="str">
        <f t="shared" si="3"/>
        <v>Poor</v>
      </c>
    </row>
    <row r="66" spans="1:10" x14ac:dyDescent="0.35">
      <c r="A66" t="s">
        <v>89</v>
      </c>
      <c r="B66" s="3">
        <v>1220</v>
      </c>
      <c r="C66" s="3">
        <v>1555</v>
      </c>
      <c r="D66" s="2" t="str">
        <f t="shared" si="0"/>
        <v>Low Price</v>
      </c>
      <c r="E66" s="2">
        <f t="shared" si="1"/>
        <v>335</v>
      </c>
      <c r="F66" s="1">
        <v>0.22</v>
      </c>
      <c r="G66" s="1" t="str">
        <f t="shared" si="2"/>
        <v>Medium Discount</v>
      </c>
      <c r="H66">
        <v>16</v>
      </c>
      <c r="I66">
        <v>2.9</v>
      </c>
      <c r="J66" t="str">
        <f t="shared" si="3"/>
        <v>Poor</v>
      </c>
    </row>
    <row r="67" spans="1:10" x14ac:dyDescent="0.35">
      <c r="A67" t="s">
        <v>91</v>
      </c>
      <c r="B67" s="3">
        <v>990</v>
      </c>
      <c r="C67" s="3">
        <v>1814</v>
      </c>
      <c r="D67" s="2" t="str">
        <f t="shared" ref="D67:D113" si="4">IF(B67&gt;3000,"High Price",IF(B67&gt;=2000,"Medium Price","Low Price"))</f>
        <v>Low Price</v>
      </c>
      <c r="E67" s="2">
        <f t="shared" ref="E67:E113" si="5">C67-B67</f>
        <v>824</v>
      </c>
      <c r="F67" s="1">
        <v>0.45</v>
      </c>
      <c r="G67" s="1" t="str">
        <f t="shared" ref="G67:G113" si="6">IF(F67&lt;20%,"Low Discount",IF(F67&lt;=40%,"Medium Discount","High Discount"))</f>
        <v>High Discount</v>
      </c>
      <c r="H67">
        <v>6</v>
      </c>
      <c r="I67">
        <v>2.2000000000000002</v>
      </c>
      <c r="J67" t="str">
        <f t="shared" ref="J67:J113" si="7">IF(I67="Unknown","Unknown",IF(I67&lt;3,"Poor",IF(I67&lt;=4.5,"Average","Excellent")))</f>
        <v>Poor</v>
      </c>
    </row>
    <row r="68" spans="1:10" x14ac:dyDescent="0.35">
      <c r="A68" t="s">
        <v>93</v>
      </c>
      <c r="B68" s="3">
        <v>1000</v>
      </c>
      <c r="C68" s="3">
        <v>2000</v>
      </c>
      <c r="D68" s="2" t="str">
        <f t="shared" si="4"/>
        <v>Low Price</v>
      </c>
      <c r="E68" s="2">
        <f t="shared" si="5"/>
        <v>1000</v>
      </c>
      <c r="F68" s="1">
        <v>0.5</v>
      </c>
      <c r="G68" s="1" t="str">
        <f t="shared" si="6"/>
        <v>High Discount</v>
      </c>
      <c r="H68">
        <v>7</v>
      </c>
      <c r="I68">
        <v>2.2999999999999998</v>
      </c>
      <c r="J68" t="str">
        <f t="shared" si="7"/>
        <v>Poor</v>
      </c>
    </row>
    <row r="69" spans="1:10" x14ac:dyDescent="0.35">
      <c r="A69" t="s">
        <v>95</v>
      </c>
      <c r="B69" s="3">
        <v>3750</v>
      </c>
      <c r="C69" s="3">
        <v>6143</v>
      </c>
      <c r="D69" s="2" t="str">
        <f t="shared" si="4"/>
        <v>High Price</v>
      </c>
      <c r="E69" s="2">
        <f t="shared" si="5"/>
        <v>2393</v>
      </c>
      <c r="F69" s="1">
        <v>0.39</v>
      </c>
      <c r="G69" s="1" t="str">
        <f t="shared" si="6"/>
        <v>Medium Discount</v>
      </c>
      <c r="H69">
        <v>5</v>
      </c>
      <c r="I69">
        <v>3</v>
      </c>
      <c r="J69" t="str">
        <f t="shared" si="7"/>
        <v>Average</v>
      </c>
    </row>
    <row r="70" spans="1:10" x14ac:dyDescent="0.35">
      <c r="A70" t="s">
        <v>96</v>
      </c>
      <c r="B70" s="3">
        <v>382</v>
      </c>
      <c r="C70" s="3">
        <v>700</v>
      </c>
      <c r="D70" s="2" t="str">
        <f t="shared" si="4"/>
        <v>Low Price</v>
      </c>
      <c r="E70" s="2">
        <f t="shared" si="5"/>
        <v>318</v>
      </c>
      <c r="F70" s="1">
        <v>0.45</v>
      </c>
      <c r="G70" s="1" t="str">
        <f t="shared" si="6"/>
        <v>High Discount</v>
      </c>
      <c r="H70">
        <v>17</v>
      </c>
      <c r="I70">
        <v>2.6</v>
      </c>
      <c r="J70" t="str">
        <f t="shared" si="7"/>
        <v>Poor</v>
      </c>
    </row>
    <row r="71" spans="1:10" x14ac:dyDescent="0.35">
      <c r="A71" t="s">
        <v>98</v>
      </c>
      <c r="B71" s="3">
        <v>2300</v>
      </c>
      <c r="C71" s="3">
        <v>3240</v>
      </c>
      <c r="D71" s="2" t="str">
        <f t="shared" si="4"/>
        <v>Medium Price</v>
      </c>
      <c r="E71" s="2">
        <f t="shared" si="5"/>
        <v>940</v>
      </c>
      <c r="F71" s="1">
        <v>0.28999999999999998</v>
      </c>
      <c r="G71" s="1" t="str">
        <f t="shared" si="6"/>
        <v>Medium Discount</v>
      </c>
      <c r="H71">
        <v>5</v>
      </c>
      <c r="I71">
        <v>3</v>
      </c>
      <c r="J71" t="str">
        <f t="shared" si="7"/>
        <v>Average</v>
      </c>
    </row>
    <row r="72" spans="1:10" x14ac:dyDescent="0.35">
      <c r="A72" t="s">
        <v>99</v>
      </c>
      <c r="B72" s="3">
        <v>345</v>
      </c>
      <c r="C72" s="3">
        <v>602</v>
      </c>
      <c r="D72" s="2" t="str">
        <f t="shared" si="4"/>
        <v>Low Price</v>
      </c>
      <c r="E72" s="2">
        <f t="shared" si="5"/>
        <v>257</v>
      </c>
      <c r="F72" s="1">
        <v>0.43</v>
      </c>
      <c r="G72" s="1" t="str">
        <f t="shared" si="6"/>
        <v>High Discount</v>
      </c>
      <c r="H72">
        <v>6</v>
      </c>
      <c r="I72">
        <v>2.2999999999999998</v>
      </c>
      <c r="J72" t="str">
        <f t="shared" si="7"/>
        <v>Poor</v>
      </c>
    </row>
    <row r="73" spans="1:10" x14ac:dyDescent="0.35">
      <c r="A73" t="s">
        <v>100</v>
      </c>
      <c r="B73" s="3">
        <v>509</v>
      </c>
      <c r="C73" s="3">
        <v>899</v>
      </c>
      <c r="D73" s="2" t="str">
        <f t="shared" si="4"/>
        <v>Low Price</v>
      </c>
      <c r="E73" s="2">
        <f t="shared" si="5"/>
        <v>390</v>
      </c>
      <c r="F73" s="1">
        <v>0.43</v>
      </c>
      <c r="G73" s="1" t="str">
        <f t="shared" si="6"/>
        <v>High Discount</v>
      </c>
      <c r="H73">
        <v>5</v>
      </c>
      <c r="I73">
        <v>3</v>
      </c>
      <c r="J73" t="str">
        <f t="shared" si="7"/>
        <v>Average</v>
      </c>
    </row>
    <row r="74" spans="1:10" x14ac:dyDescent="0.35">
      <c r="A74" t="s">
        <v>101</v>
      </c>
      <c r="B74" s="3">
        <v>968</v>
      </c>
      <c r="C74" s="3">
        <v>1814</v>
      </c>
      <c r="D74" s="2" t="str">
        <f t="shared" si="4"/>
        <v>Low Price</v>
      </c>
      <c r="E74" s="2">
        <f t="shared" si="5"/>
        <v>846</v>
      </c>
      <c r="F74" s="1">
        <v>0.47</v>
      </c>
      <c r="G74" s="1" t="str">
        <f t="shared" si="6"/>
        <v>High Discount</v>
      </c>
      <c r="H74">
        <v>6</v>
      </c>
      <c r="I74">
        <v>2.2000000000000002</v>
      </c>
      <c r="J74" t="str">
        <f t="shared" si="7"/>
        <v>Poor</v>
      </c>
    </row>
    <row r="75" spans="1:10" x14ac:dyDescent="0.35">
      <c r="A75" t="s">
        <v>102</v>
      </c>
      <c r="B75" s="3">
        <v>1570</v>
      </c>
      <c r="C75" s="3">
        <v>2988</v>
      </c>
      <c r="D75" s="2" t="str">
        <f t="shared" si="4"/>
        <v>Low Price</v>
      </c>
      <c r="E75" s="2">
        <f t="shared" si="5"/>
        <v>1418</v>
      </c>
      <c r="F75" s="1">
        <v>0.47</v>
      </c>
      <c r="G75" s="1" t="str">
        <f t="shared" si="6"/>
        <v>High Discount</v>
      </c>
      <c r="H75">
        <v>7</v>
      </c>
      <c r="I75">
        <v>2.1</v>
      </c>
      <c r="J75" t="str">
        <f t="shared" si="7"/>
        <v>Poor</v>
      </c>
    </row>
    <row r="76" spans="1:10" x14ac:dyDescent="0.35">
      <c r="A76" t="s">
        <v>103</v>
      </c>
      <c r="B76" s="3">
        <v>790</v>
      </c>
      <c r="C76" s="3">
        <v>1485</v>
      </c>
      <c r="D76" s="2" t="str">
        <f t="shared" si="4"/>
        <v>Low Price</v>
      </c>
      <c r="E76" s="2">
        <f t="shared" si="5"/>
        <v>695</v>
      </c>
      <c r="F76" s="1">
        <v>0.47</v>
      </c>
      <c r="G76" s="1" t="str">
        <f t="shared" si="6"/>
        <v>High Discount</v>
      </c>
      <c r="H76" t="s">
        <v>38</v>
      </c>
      <c r="I76" t="s">
        <v>38</v>
      </c>
      <c r="J76" t="str">
        <f t="shared" si="7"/>
        <v>Unknown</v>
      </c>
    </row>
    <row r="77" spans="1:10" x14ac:dyDescent="0.35">
      <c r="A77" t="s">
        <v>104</v>
      </c>
      <c r="B77" s="3">
        <v>690</v>
      </c>
      <c r="C77" s="3">
        <v>1200</v>
      </c>
      <c r="D77" s="2" t="str">
        <f t="shared" si="4"/>
        <v>Low Price</v>
      </c>
      <c r="E77" s="2">
        <f t="shared" si="5"/>
        <v>510</v>
      </c>
      <c r="F77" s="1">
        <v>0.43</v>
      </c>
      <c r="G77" s="1" t="str">
        <f t="shared" si="6"/>
        <v>High Discount</v>
      </c>
      <c r="H77" t="s">
        <v>38</v>
      </c>
      <c r="I77" t="s">
        <v>38</v>
      </c>
      <c r="J77" t="str">
        <f t="shared" si="7"/>
        <v>Unknown</v>
      </c>
    </row>
    <row r="78" spans="1:10" x14ac:dyDescent="0.35">
      <c r="A78" t="s">
        <v>105</v>
      </c>
      <c r="B78" s="3">
        <v>1732</v>
      </c>
      <c r="C78" s="3">
        <v>1799</v>
      </c>
      <c r="D78" s="2" t="str">
        <f t="shared" si="4"/>
        <v>Low Price</v>
      </c>
      <c r="E78" s="2">
        <f t="shared" si="5"/>
        <v>67</v>
      </c>
      <c r="F78" s="1">
        <v>0.04</v>
      </c>
      <c r="G78" s="1" t="str">
        <f t="shared" si="6"/>
        <v>Low Discount</v>
      </c>
      <c r="H78" t="s">
        <v>38</v>
      </c>
      <c r="I78" t="s">
        <v>38</v>
      </c>
      <c r="J78" t="str">
        <f t="shared" si="7"/>
        <v>Unknown</v>
      </c>
    </row>
    <row r="79" spans="1:10" x14ac:dyDescent="0.35">
      <c r="A79" t="s">
        <v>106</v>
      </c>
      <c r="B79" s="3">
        <v>230</v>
      </c>
      <c r="C79" s="3">
        <v>450</v>
      </c>
      <c r="D79" s="2" t="str">
        <f t="shared" si="4"/>
        <v>Low Price</v>
      </c>
      <c r="E79" s="2">
        <f t="shared" si="5"/>
        <v>220</v>
      </c>
      <c r="F79" s="1">
        <v>0.49</v>
      </c>
      <c r="G79" s="1" t="str">
        <f t="shared" si="6"/>
        <v>High Discount</v>
      </c>
      <c r="H79" t="s">
        <v>38</v>
      </c>
      <c r="I79" t="s">
        <v>38</v>
      </c>
      <c r="J79" t="str">
        <f t="shared" si="7"/>
        <v>Unknown</v>
      </c>
    </row>
    <row r="80" spans="1:10" x14ac:dyDescent="0.35">
      <c r="A80" t="s">
        <v>107</v>
      </c>
      <c r="B80" s="3">
        <v>1189</v>
      </c>
      <c r="C80" s="3">
        <v>2199</v>
      </c>
      <c r="D80" s="2" t="str">
        <f t="shared" si="4"/>
        <v>Low Price</v>
      </c>
      <c r="E80" s="2">
        <f t="shared" si="5"/>
        <v>1010</v>
      </c>
      <c r="F80" s="1">
        <v>0.46</v>
      </c>
      <c r="G80" s="1" t="str">
        <f t="shared" si="6"/>
        <v>High Discount</v>
      </c>
      <c r="H80">
        <v>1</v>
      </c>
      <c r="I80">
        <v>3</v>
      </c>
      <c r="J80" t="str">
        <f t="shared" si="7"/>
        <v>Average</v>
      </c>
    </row>
    <row r="81" spans="1:10" x14ac:dyDescent="0.35">
      <c r="A81" t="s">
        <v>108</v>
      </c>
      <c r="B81" s="3">
        <v>979</v>
      </c>
      <c r="C81" s="3">
        <v>1920</v>
      </c>
      <c r="D81" s="2" t="str">
        <f t="shared" si="4"/>
        <v>Low Price</v>
      </c>
      <c r="E81" s="2">
        <f t="shared" si="5"/>
        <v>941</v>
      </c>
      <c r="F81" s="1">
        <v>0.49</v>
      </c>
      <c r="G81" s="1" t="str">
        <f t="shared" si="6"/>
        <v>High Discount</v>
      </c>
      <c r="H81">
        <v>1</v>
      </c>
      <c r="I81">
        <v>5</v>
      </c>
      <c r="J81" t="str">
        <f t="shared" si="7"/>
        <v>Excellent</v>
      </c>
    </row>
    <row r="82" spans="1:10" x14ac:dyDescent="0.35">
      <c r="A82" t="s">
        <v>109</v>
      </c>
      <c r="B82" s="3">
        <v>1460</v>
      </c>
      <c r="C82" s="3">
        <v>2290</v>
      </c>
      <c r="D82" s="2" t="str">
        <f t="shared" si="4"/>
        <v>Low Price</v>
      </c>
      <c r="E82" s="2">
        <f t="shared" si="5"/>
        <v>830</v>
      </c>
      <c r="F82" s="1">
        <v>0.36</v>
      </c>
      <c r="G82" s="1" t="str">
        <f t="shared" si="6"/>
        <v>Medium Discount</v>
      </c>
      <c r="H82" t="s">
        <v>38</v>
      </c>
      <c r="I82" t="s">
        <v>38</v>
      </c>
      <c r="J82" t="str">
        <f t="shared" si="7"/>
        <v>Unknown</v>
      </c>
    </row>
    <row r="83" spans="1:10" x14ac:dyDescent="0.35">
      <c r="A83" t="s">
        <v>110</v>
      </c>
      <c r="B83" s="3">
        <v>1666</v>
      </c>
      <c r="C83" s="3">
        <v>1699</v>
      </c>
      <c r="D83" s="2" t="str">
        <f t="shared" si="4"/>
        <v>Low Price</v>
      </c>
      <c r="E83" s="2">
        <f t="shared" si="5"/>
        <v>33</v>
      </c>
      <c r="F83" s="1">
        <v>0.02</v>
      </c>
      <c r="G83" s="1" t="str">
        <f t="shared" si="6"/>
        <v>Low Discount</v>
      </c>
      <c r="H83" t="s">
        <v>38</v>
      </c>
      <c r="I83" t="s">
        <v>38</v>
      </c>
      <c r="J83" t="str">
        <f t="shared" si="7"/>
        <v>Unknown</v>
      </c>
    </row>
    <row r="84" spans="1:10" x14ac:dyDescent="0.35">
      <c r="A84" t="s">
        <v>111</v>
      </c>
      <c r="B84" s="3">
        <v>330</v>
      </c>
      <c r="C84" s="3">
        <v>647</v>
      </c>
      <c r="D84" s="2" t="str">
        <f t="shared" si="4"/>
        <v>Low Price</v>
      </c>
      <c r="E84" s="2">
        <f t="shared" si="5"/>
        <v>317</v>
      </c>
      <c r="F84" s="1">
        <v>0.49</v>
      </c>
      <c r="G84" s="1" t="str">
        <f t="shared" si="6"/>
        <v>High Discount</v>
      </c>
      <c r="H84">
        <v>1</v>
      </c>
      <c r="I84">
        <v>4</v>
      </c>
      <c r="J84" t="str">
        <f t="shared" si="7"/>
        <v>Average</v>
      </c>
    </row>
    <row r="85" spans="1:10" x14ac:dyDescent="0.35">
      <c r="A85" t="s">
        <v>69</v>
      </c>
      <c r="B85" s="3">
        <v>176</v>
      </c>
      <c r="C85" s="3">
        <v>345</v>
      </c>
      <c r="D85" s="2" t="str">
        <f t="shared" si="4"/>
        <v>Low Price</v>
      </c>
      <c r="E85" s="2">
        <f t="shared" si="5"/>
        <v>169</v>
      </c>
      <c r="F85" s="1">
        <v>0.49</v>
      </c>
      <c r="G85" s="1" t="str">
        <f t="shared" si="6"/>
        <v>High Discount</v>
      </c>
      <c r="H85" t="s">
        <v>38</v>
      </c>
      <c r="I85" t="s">
        <v>38</v>
      </c>
      <c r="J85" t="str">
        <f t="shared" si="7"/>
        <v>Unknown</v>
      </c>
    </row>
    <row r="86" spans="1:10" x14ac:dyDescent="0.35">
      <c r="A86" t="s">
        <v>112</v>
      </c>
      <c r="B86" s="3">
        <v>1466</v>
      </c>
      <c r="C86" s="3">
        <v>1699</v>
      </c>
      <c r="D86" s="2" t="str">
        <f t="shared" si="4"/>
        <v>Low Price</v>
      </c>
      <c r="E86" s="2">
        <f t="shared" si="5"/>
        <v>233</v>
      </c>
      <c r="F86" s="1">
        <v>0.14000000000000001</v>
      </c>
      <c r="G86" s="1" t="str">
        <f t="shared" si="6"/>
        <v>Low Discount</v>
      </c>
      <c r="H86" t="s">
        <v>38</v>
      </c>
      <c r="I86" t="s">
        <v>38</v>
      </c>
      <c r="J86" t="str">
        <f t="shared" si="7"/>
        <v>Unknown</v>
      </c>
    </row>
    <row r="87" spans="1:10" x14ac:dyDescent="0.35">
      <c r="A87" t="s">
        <v>113</v>
      </c>
      <c r="B87" s="3">
        <v>274</v>
      </c>
      <c r="C87" s="3">
        <v>537</v>
      </c>
      <c r="D87" s="2" t="str">
        <f t="shared" si="4"/>
        <v>Low Price</v>
      </c>
      <c r="E87" s="2">
        <f t="shared" si="5"/>
        <v>263</v>
      </c>
      <c r="F87" s="1">
        <v>0.49</v>
      </c>
      <c r="G87" s="1" t="str">
        <f t="shared" si="6"/>
        <v>High Discount</v>
      </c>
      <c r="H87" t="s">
        <v>38</v>
      </c>
      <c r="I87" t="s">
        <v>38</v>
      </c>
      <c r="J87" t="str">
        <f t="shared" si="7"/>
        <v>Unknown</v>
      </c>
    </row>
    <row r="88" spans="1:10" x14ac:dyDescent="0.35">
      <c r="A88" t="s">
        <v>114</v>
      </c>
      <c r="B88" s="3">
        <v>799</v>
      </c>
      <c r="C88" s="3">
        <v>900</v>
      </c>
      <c r="D88" s="2" t="str">
        <f t="shared" si="4"/>
        <v>Low Price</v>
      </c>
      <c r="E88" s="2">
        <f t="shared" si="5"/>
        <v>101</v>
      </c>
      <c r="F88" s="1">
        <v>0.11</v>
      </c>
      <c r="G88" s="1" t="str">
        <f t="shared" si="6"/>
        <v>Low Discount</v>
      </c>
      <c r="H88" t="s">
        <v>38</v>
      </c>
      <c r="I88" t="s">
        <v>38</v>
      </c>
      <c r="J88" t="str">
        <f t="shared" si="7"/>
        <v>Unknown</v>
      </c>
    </row>
    <row r="89" spans="1:10" x14ac:dyDescent="0.35">
      <c r="A89" t="s">
        <v>77</v>
      </c>
      <c r="B89" s="3">
        <v>657</v>
      </c>
      <c r="C89" s="3">
        <v>1288</v>
      </c>
      <c r="D89" s="2" t="str">
        <f t="shared" si="4"/>
        <v>Low Price</v>
      </c>
      <c r="E89" s="2">
        <f t="shared" si="5"/>
        <v>631</v>
      </c>
      <c r="F89" s="1">
        <v>0.49</v>
      </c>
      <c r="G89" s="1" t="str">
        <f t="shared" si="6"/>
        <v>High Discount</v>
      </c>
      <c r="H89" t="s">
        <v>38</v>
      </c>
      <c r="I89" t="s">
        <v>38</v>
      </c>
      <c r="J89" t="str">
        <f t="shared" si="7"/>
        <v>Unknown</v>
      </c>
    </row>
    <row r="90" spans="1:10" x14ac:dyDescent="0.35">
      <c r="A90" t="s">
        <v>115</v>
      </c>
      <c r="B90" s="3">
        <v>1468</v>
      </c>
      <c r="C90" s="3">
        <v>1699</v>
      </c>
      <c r="D90" s="2" t="str">
        <f t="shared" si="4"/>
        <v>Low Price</v>
      </c>
      <c r="E90" s="2">
        <f t="shared" si="5"/>
        <v>231</v>
      </c>
      <c r="F90" s="1">
        <v>0.14000000000000001</v>
      </c>
      <c r="G90" s="1" t="str">
        <f t="shared" si="6"/>
        <v>Low Discount</v>
      </c>
      <c r="H90" t="s">
        <v>38</v>
      </c>
      <c r="I90" t="s">
        <v>38</v>
      </c>
      <c r="J90" t="str">
        <f t="shared" si="7"/>
        <v>Unknown</v>
      </c>
    </row>
    <row r="91" spans="1:10" x14ac:dyDescent="0.35">
      <c r="A91" t="s">
        <v>116</v>
      </c>
      <c r="B91" s="3">
        <v>630</v>
      </c>
      <c r="C91" s="3">
        <v>1100</v>
      </c>
      <c r="D91" s="2" t="str">
        <f t="shared" si="4"/>
        <v>Low Price</v>
      </c>
      <c r="E91" s="2">
        <f t="shared" si="5"/>
        <v>470</v>
      </c>
      <c r="F91" s="1">
        <v>0.43</v>
      </c>
      <c r="G91" s="1" t="str">
        <f t="shared" si="6"/>
        <v>High Discount</v>
      </c>
      <c r="H91" t="s">
        <v>38</v>
      </c>
      <c r="I91" t="s">
        <v>38</v>
      </c>
      <c r="J91" t="str">
        <f t="shared" si="7"/>
        <v>Unknown</v>
      </c>
    </row>
    <row r="92" spans="1:10" x14ac:dyDescent="0.35">
      <c r="A92" t="s">
        <v>117</v>
      </c>
      <c r="B92" s="3">
        <v>850</v>
      </c>
      <c r="C92" s="3">
        <v>1700</v>
      </c>
      <c r="D92" s="2" t="str">
        <f t="shared" si="4"/>
        <v>Low Price</v>
      </c>
      <c r="E92" s="2">
        <f t="shared" si="5"/>
        <v>850</v>
      </c>
      <c r="F92" s="1">
        <v>0.5</v>
      </c>
      <c r="G92" s="1" t="str">
        <f t="shared" si="6"/>
        <v>High Discount</v>
      </c>
      <c r="H92" t="s">
        <v>38</v>
      </c>
      <c r="I92" t="s">
        <v>38</v>
      </c>
      <c r="J92" t="str">
        <f t="shared" si="7"/>
        <v>Unknown</v>
      </c>
    </row>
    <row r="93" spans="1:10" x14ac:dyDescent="0.35">
      <c r="A93" t="s">
        <v>118</v>
      </c>
      <c r="B93" s="3">
        <v>1300</v>
      </c>
      <c r="C93" s="3">
        <v>2500</v>
      </c>
      <c r="D93" s="2" t="str">
        <f t="shared" si="4"/>
        <v>Low Price</v>
      </c>
      <c r="E93" s="2">
        <f t="shared" si="5"/>
        <v>1200</v>
      </c>
      <c r="F93" s="1">
        <v>0.48</v>
      </c>
      <c r="G93" s="1" t="str">
        <f t="shared" si="6"/>
        <v>High Discount</v>
      </c>
      <c r="H93" t="s">
        <v>38</v>
      </c>
      <c r="I93" t="s">
        <v>38</v>
      </c>
      <c r="J93" t="str">
        <f t="shared" si="7"/>
        <v>Unknown</v>
      </c>
    </row>
    <row r="94" spans="1:10" x14ac:dyDescent="0.35">
      <c r="A94" t="s">
        <v>119</v>
      </c>
      <c r="B94" s="3">
        <v>105</v>
      </c>
      <c r="C94" s="3">
        <v>200</v>
      </c>
      <c r="D94" s="2" t="str">
        <f t="shared" si="4"/>
        <v>Low Price</v>
      </c>
      <c r="E94" s="2">
        <f t="shared" si="5"/>
        <v>95</v>
      </c>
      <c r="F94" s="1">
        <v>0.48</v>
      </c>
      <c r="G94" s="1" t="str">
        <f t="shared" si="6"/>
        <v>High Discount</v>
      </c>
      <c r="H94" t="s">
        <v>38</v>
      </c>
      <c r="I94" t="s">
        <v>38</v>
      </c>
      <c r="J94" t="str">
        <f t="shared" si="7"/>
        <v>Unknown</v>
      </c>
    </row>
    <row r="95" spans="1:10" x14ac:dyDescent="0.35">
      <c r="A95" t="s">
        <v>120</v>
      </c>
      <c r="B95" s="3">
        <v>899</v>
      </c>
      <c r="C95" s="3">
        <v>1699</v>
      </c>
      <c r="D95" s="2" t="str">
        <f t="shared" si="4"/>
        <v>Low Price</v>
      </c>
      <c r="E95" s="2">
        <f t="shared" si="5"/>
        <v>800</v>
      </c>
      <c r="F95" s="1">
        <v>0.47</v>
      </c>
      <c r="G95" s="1" t="str">
        <f t="shared" si="6"/>
        <v>High Discount</v>
      </c>
      <c r="H95" t="s">
        <v>38</v>
      </c>
      <c r="I95" t="s">
        <v>38</v>
      </c>
      <c r="J95" t="str">
        <f t="shared" si="7"/>
        <v>Unknown</v>
      </c>
    </row>
    <row r="96" spans="1:10" x14ac:dyDescent="0.35">
      <c r="A96" t="s">
        <v>121</v>
      </c>
      <c r="B96" s="3">
        <v>1200</v>
      </c>
      <c r="C96" s="3">
        <v>2400</v>
      </c>
      <c r="D96" s="2" t="str">
        <f t="shared" si="4"/>
        <v>Low Price</v>
      </c>
      <c r="E96" s="2">
        <f t="shared" si="5"/>
        <v>1200</v>
      </c>
      <c r="F96" s="1">
        <v>0.5</v>
      </c>
      <c r="G96" s="1" t="str">
        <f t="shared" si="6"/>
        <v>High Discount</v>
      </c>
      <c r="H96" t="s">
        <v>38</v>
      </c>
      <c r="I96" t="s">
        <v>38</v>
      </c>
      <c r="J96" t="str">
        <f t="shared" si="7"/>
        <v>Unknown</v>
      </c>
    </row>
    <row r="97" spans="1:10" x14ac:dyDescent="0.35">
      <c r="A97" t="s">
        <v>122</v>
      </c>
      <c r="B97" s="3">
        <v>1526</v>
      </c>
      <c r="C97" s="3">
        <v>1660</v>
      </c>
      <c r="D97" s="2" t="str">
        <f t="shared" si="4"/>
        <v>Low Price</v>
      </c>
      <c r="E97" s="2">
        <f t="shared" si="5"/>
        <v>134</v>
      </c>
      <c r="F97" s="1">
        <v>0.08</v>
      </c>
      <c r="G97" s="1" t="str">
        <f t="shared" si="6"/>
        <v>Low Discount</v>
      </c>
      <c r="H97" t="s">
        <v>38</v>
      </c>
      <c r="I97" t="s">
        <v>38</v>
      </c>
      <c r="J97" t="str">
        <f t="shared" si="7"/>
        <v>Unknown</v>
      </c>
    </row>
    <row r="98" spans="1:10" x14ac:dyDescent="0.35">
      <c r="A98" t="s">
        <v>123</v>
      </c>
      <c r="B98" s="3">
        <v>1462</v>
      </c>
      <c r="C98" s="3">
        <v>1499</v>
      </c>
      <c r="D98" s="2" t="str">
        <f t="shared" si="4"/>
        <v>Low Price</v>
      </c>
      <c r="E98" s="2">
        <f t="shared" si="5"/>
        <v>37</v>
      </c>
      <c r="F98" s="1">
        <v>0.02</v>
      </c>
      <c r="G98" s="1" t="str">
        <f t="shared" si="6"/>
        <v>Low Discount</v>
      </c>
      <c r="H98" t="s">
        <v>38</v>
      </c>
      <c r="I98" t="s">
        <v>38</v>
      </c>
      <c r="J98" t="str">
        <f t="shared" si="7"/>
        <v>Unknown</v>
      </c>
    </row>
    <row r="99" spans="1:10" x14ac:dyDescent="0.35">
      <c r="A99" t="s">
        <v>124</v>
      </c>
      <c r="B99" s="3">
        <v>248</v>
      </c>
      <c r="C99" s="3">
        <v>486</v>
      </c>
      <c r="D99" s="2" t="str">
        <f t="shared" si="4"/>
        <v>Low Price</v>
      </c>
      <c r="E99" s="2">
        <f t="shared" si="5"/>
        <v>238</v>
      </c>
      <c r="F99" s="1">
        <v>0.49</v>
      </c>
      <c r="G99" s="1" t="str">
        <f t="shared" si="6"/>
        <v>High Discount</v>
      </c>
      <c r="H99" t="s">
        <v>38</v>
      </c>
      <c r="I99" t="s">
        <v>38</v>
      </c>
      <c r="J99" t="str">
        <f t="shared" si="7"/>
        <v>Unknown</v>
      </c>
    </row>
    <row r="100" spans="1:10" x14ac:dyDescent="0.35">
      <c r="A100" t="s">
        <v>125</v>
      </c>
      <c r="B100" s="3">
        <v>3546</v>
      </c>
      <c r="C100" s="3">
        <v>3699</v>
      </c>
      <c r="D100" s="2" t="str">
        <f t="shared" si="4"/>
        <v>High Price</v>
      </c>
      <c r="E100" s="2">
        <f t="shared" si="5"/>
        <v>153</v>
      </c>
      <c r="F100" s="1">
        <v>0.04</v>
      </c>
      <c r="G100" s="1" t="str">
        <f t="shared" si="6"/>
        <v>Low Discount</v>
      </c>
      <c r="H100" t="s">
        <v>38</v>
      </c>
      <c r="I100" t="s">
        <v>38</v>
      </c>
      <c r="J100" t="str">
        <f t="shared" si="7"/>
        <v>Unknown</v>
      </c>
    </row>
    <row r="101" spans="1:10" x14ac:dyDescent="0.35">
      <c r="A101" t="s">
        <v>126</v>
      </c>
      <c r="B101" s="3">
        <v>525</v>
      </c>
      <c r="C101" s="3">
        <v>1029</v>
      </c>
      <c r="D101" s="2" t="str">
        <f t="shared" si="4"/>
        <v>Low Price</v>
      </c>
      <c r="E101" s="2">
        <f t="shared" si="5"/>
        <v>504</v>
      </c>
      <c r="F101" s="1">
        <v>0.49</v>
      </c>
      <c r="G101" s="1" t="str">
        <f t="shared" si="6"/>
        <v>High Discount</v>
      </c>
      <c r="H101" t="s">
        <v>38</v>
      </c>
      <c r="I101" t="s">
        <v>38</v>
      </c>
      <c r="J101" t="str">
        <f t="shared" si="7"/>
        <v>Unknown</v>
      </c>
    </row>
    <row r="102" spans="1:10" x14ac:dyDescent="0.35">
      <c r="A102" t="s">
        <v>127</v>
      </c>
      <c r="B102" s="3">
        <v>1080</v>
      </c>
      <c r="C102" s="3">
        <v>1874</v>
      </c>
      <c r="D102" s="2" t="str">
        <f t="shared" si="4"/>
        <v>Low Price</v>
      </c>
      <c r="E102" s="2">
        <f t="shared" si="5"/>
        <v>794</v>
      </c>
      <c r="F102" s="1">
        <v>0.42</v>
      </c>
      <c r="G102" s="1" t="str">
        <f t="shared" si="6"/>
        <v>High Discount</v>
      </c>
      <c r="H102" t="s">
        <v>38</v>
      </c>
      <c r="I102" t="s">
        <v>38</v>
      </c>
      <c r="J102" t="str">
        <f t="shared" si="7"/>
        <v>Unknown</v>
      </c>
    </row>
    <row r="103" spans="1:10" x14ac:dyDescent="0.35">
      <c r="A103" t="s">
        <v>128</v>
      </c>
      <c r="B103" s="3">
        <v>3640</v>
      </c>
      <c r="C103" s="3">
        <v>4588</v>
      </c>
      <c r="D103" s="2" t="str">
        <f t="shared" si="4"/>
        <v>High Price</v>
      </c>
      <c r="E103" s="2">
        <f t="shared" si="5"/>
        <v>948</v>
      </c>
      <c r="F103" s="1">
        <v>0.21</v>
      </c>
      <c r="G103" s="1" t="str">
        <f t="shared" si="6"/>
        <v>Medium Discount</v>
      </c>
      <c r="H103">
        <v>1</v>
      </c>
      <c r="I103">
        <v>5</v>
      </c>
      <c r="J103" t="str">
        <f t="shared" si="7"/>
        <v>Excellent</v>
      </c>
    </row>
    <row r="104" spans="1:10" x14ac:dyDescent="0.35">
      <c r="A104" t="s">
        <v>129</v>
      </c>
      <c r="B104" s="3">
        <v>1420</v>
      </c>
      <c r="C104" s="3">
        <v>2420</v>
      </c>
      <c r="D104" s="2" t="str">
        <f t="shared" si="4"/>
        <v>Low Price</v>
      </c>
      <c r="E104" s="2">
        <f t="shared" si="5"/>
        <v>1000</v>
      </c>
      <c r="F104" s="1">
        <v>0.41</v>
      </c>
      <c r="G104" s="1" t="str">
        <f t="shared" si="6"/>
        <v>High Discount</v>
      </c>
      <c r="H104" t="s">
        <v>38</v>
      </c>
      <c r="I104" t="s">
        <v>38</v>
      </c>
      <c r="J104" t="str">
        <f t="shared" si="7"/>
        <v>Unknown</v>
      </c>
    </row>
    <row r="105" spans="1:10" x14ac:dyDescent="0.35">
      <c r="A105" t="s">
        <v>130</v>
      </c>
      <c r="B105" s="3">
        <v>1875</v>
      </c>
      <c r="C105" s="3">
        <v>1899</v>
      </c>
      <c r="D105" s="2" t="str">
        <f t="shared" si="4"/>
        <v>Low Price</v>
      </c>
      <c r="E105" s="2">
        <f t="shared" si="5"/>
        <v>24</v>
      </c>
      <c r="F105" s="1">
        <v>0.01</v>
      </c>
      <c r="G105" s="1" t="str">
        <f t="shared" si="6"/>
        <v>Low Discount</v>
      </c>
      <c r="H105" t="s">
        <v>38</v>
      </c>
      <c r="I105" t="s">
        <v>38</v>
      </c>
      <c r="J105" t="str">
        <f t="shared" si="7"/>
        <v>Unknown</v>
      </c>
    </row>
    <row r="106" spans="1:10" x14ac:dyDescent="0.35">
      <c r="A106" t="s">
        <v>131</v>
      </c>
      <c r="B106" s="3">
        <v>198</v>
      </c>
      <c r="C106" s="3">
        <v>260</v>
      </c>
      <c r="D106" s="2" t="str">
        <f t="shared" si="4"/>
        <v>Low Price</v>
      </c>
      <c r="E106" s="2">
        <f t="shared" si="5"/>
        <v>62</v>
      </c>
      <c r="F106" s="1">
        <v>0.24</v>
      </c>
      <c r="G106" s="1" t="str">
        <f t="shared" si="6"/>
        <v>Medium Discount</v>
      </c>
      <c r="H106" t="s">
        <v>38</v>
      </c>
      <c r="I106" t="s">
        <v>38</v>
      </c>
      <c r="J106" t="str">
        <f t="shared" si="7"/>
        <v>Unknown</v>
      </c>
    </row>
    <row r="107" spans="1:10" x14ac:dyDescent="0.35">
      <c r="A107" t="s">
        <v>132</v>
      </c>
      <c r="B107" s="3">
        <v>1150</v>
      </c>
      <c r="C107" s="3">
        <v>1737</v>
      </c>
      <c r="D107" s="2" t="str">
        <f t="shared" si="4"/>
        <v>Low Price</v>
      </c>
      <c r="E107" s="2">
        <f t="shared" si="5"/>
        <v>587</v>
      </c>
      <c r="F107" s="1">
        <v>0.34</v>
      </c>
      <c r="G107" s="1" t="str">
        <f t="shared" si="6"/>
        <v>Medium Discount</v>
      </c>
      <c r="H107" t="s">
        <v>38</v>
      </c>
      <c r="I107" t="s">
        <v>38</v>
      </c>
      <c r="J107" t="str">
        <f t="shared" si="7"/>
        <v>Unknown</v>
      </c>
    </row>
    <row r="108" spans="1:10" x14ac:dyDescent="0.35">
      <c r="A108" t="s">
        <v>133</v>
      </c>
      <c r="B108" s="3">
        <v>1190</v>
      </c>
      <c r="C108" s="3">
        <v>1810</v>
      </c>
      <c r="D108" s="2" t="str">
        <f t="shared" si="4"/>
        <v>Low Price</v>
      </c>
      <c r="E108" s="2">
        <f t="shared" si="5"/>
        <v>620</v>
      </c>
      <c r="F108" s="1">
        <v>0.34</v>
      </c>
      <c r="G108" s="1" t="str">
        <f t="shared" si="6"/>
        <v>Medium Discount</v>
      </c>
      <c r="H108" t="s">
        <v>38</v>
      </c>
      <c r="I108" t="s">
        <v>38</v>
      </c>
      <c r="J108" t="str">
        <f t="shared" si="7"/>
        <v>Unknown</v>
      </c>
    </row>
    <row r="109" spans="1:10" x14ac:dyDescent="0.35">
      <c r="A109" t="s">
        <v>134</v>
      </c>
      <c r="B109" s="3">
        <v>1658</v>
      </c>
      <c r="C109" s="3">
        <v>1699</v>
      </c>
      <c r="D109" s="2" t="str">
        <f t="shared" si="4"/>
        <v>Low Price</v>
      </c>
      <c r="E109" s="2">
        <f t="shared" si="5"/>
        <v>41</v>
      </c>
      <c r="F109" s="1">
        <v>0.02</v>
      </c>
      <c r="G109" s="1" t="str">
        <f t="shared" si="6"/>
        <v>Low Discount</v>
      </c>
      <c r="H109" t="s">
        <v>38</v>
      </c>
      <c r="I109" t="s">
        <v>38</v>
      </c>
      <c r="J109" t="str">
        <f t="shared" si="7"/>
        <v>Unknown</v>
      </c>
    </row>
    <row r="110" spans="1:10" x14ac:dyDescent="0.35">
      <c r="A110" t="s">
        <v>135</v>
      </c>
      <c r="B110" s="3">
        <v>1768</v>
      </c>
      <c r="C110" s="3">
        <v>1799</v>
      </c>
      <c r="D110" s="2" t="str">
        <f t="shared" si="4"/>
        <v>Low Price</v>
      </c>
      <c r="E110" s="2">
        <f t="shared" si="5"/>
        <v>31</v>
      </c>
      <c r="F110" s="1">
        <v>0.02</v>
      </c>
      <c r="G110" s="1" t="str">
        <f t="shared" si="6"/>
        <v>Low Discount</v>
      </c>
      <c r="H110" t="s">
        <v>38</v>
      </c>
      <c r="I110" t="s">
        <v>38</v>
      </c>
      <c r="J110" t="str">
        <f t="shared" si="7"/>
        <v>Unknown</v>
      </c>
    </row>
    <row r="111" spans="1:10" x14ac:dyDescent="0.35">
      <c r="A111" t="s">
        <v>136</v>
      </c>
      <c r="B111" s="3">
        <v>199</v>
      </c>
      <c r="C111" s="3">
        <v>553</v>
      </c>
      <c r="D111" s="2" t="str">
        <f t="shared" si="4"/>
        <v>Low Price</v>
      </c>
      <c r="E111" s="2">
        <f t="shared" si="5"/>
        <v>354</v>
      </c>
      <c r="F111" s="1">
        <v>0.64</v>
      </c>
      <c r="G111" s="1" t="str">
        <f t="shared" si="6"/>
        <v>High Discount</v>
      </c>
      <c r="H111" t="s">
        <v>38</v>
      </c>
      <c r="I111" t="s">
        <v>38</v>
      </c>
      <c r="J111" t="str">
        <f t="shared" si="7"/>
        <v>Unknown</v>
      </c>
    </row>
    <row r="112" spans="1:10" x14ac:dyDescent="0.35">
      <c r="A112" t="s">
        <v>137</v>
      </c>
      <c r="B112" s="3">
        <v>450</v>
      </c>
      <c r="C112" s="3">
        <v>900</v>
      </c>
      <c r="D112" s="2" t="str">
        <f t="shared" si="4"/>
        <v>Low Price</v>
      </c>
      <c r="E112" s="2">
        <f t="shared" si="5"/>
        <v>450</v>
      </c>
      <c r="F112" s="1">
        <v>0.5</v>
      </c>
      <c r="G112" s="1" t="str">
        <f t="shared" si="6"/>
        <v>High Discount</v>
      </c>
      <c r="H112">
        <v>1</v>
      </c>
      <c r="I112">
        <v>2</v>
      </c>
      <c r="J112" t="str">
        <f t="shared" si="7"/>
        <v>Poor</v>
      </c>
    </row>
    <row r="113" spans="1:10" x14ac:dyDescent="0.35">
      <c r="A113" t="s">
        <v>139</v>
      </c>
      <c r="B113" s="3">
        <v>169</v>
      </c>
      <c r="C113" s="3">
        <v>320</v>
      </c>
      <c r="D113" s="2" t="str">
        <f t="shared" si="4"/>
        <v>Low Price</v>
      </c>
      <c r="E113" s="2">
        <f t="shared" si="5"/>
        <v>151</v>
      </c>
      <c r="F113" s="1">
        <v>0.47</v>
      </c>
      <c r="G113" s="1" t="str">
        <f t="shared" si="6"/>
        <v>High Discount</v>
      </c>
      <c r="H113" t="s">
        <v>38</v>
      </c>
      <c r="I113" t="s">
        <v>38</v>
      </c>
      <c r="J113" t="str">
        <f t="shared" si="7"/>
        <v>Unknown</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47CB-9EF0-4F93-B6EF-1D739C35E85D}">
  <dimension ref="A3:C113"/>
  <sheetViews>
    <sheetView workbookViewId="0">
      <selection activeCell="B4" sqref="B4:B60"/>
    </sheetView>
  </sheetViews>
  <sheetFormatPr defaultRowHeight="14.5" x14ac:dyDescent="0.35"/>
  <cols>
    <col min="1" max="1" width="89.1796875" bestFit="1" customWidth="1"/>
    <col min="2" max="2" width="16.1796875" bestFit="1" customWidth="1"/>
    <col min="3" max="3" width="15.54296875" bestFit="1" customWidth="1"/>
  </cols>
  <sheetData>
    <row r="3" spans="1:3" x14ac:dyDescent="0.35">
      <c r="A3" s="14" t="s">
        <v>154</v>
      </c>
      <c r="B3" t="s">
        <v>159</v>
      </c>
      <c r="C3" t="s">
        <v>163</v>
      </c>
    </row>
    <row r="4" spans="1:3" x14ac:dyDescent="0.35">
      <c r="A4" s="15" t="s">
        <v>85</v>
      </c>
      <c r="B4" s="17">
        <v>69</v>
      </c>
      <c r="C4" s="17">
        <v>2.8</v>
      </c>
    </row>
    <row r="5" spans="1:3" x14ac:dyDescent="0.35">
      <c r="A5" s="15" t="s">
        <v>18</v>
      </c>
      <c r="B5" s="17">
        <v>55</v>
      </c>
      <c r="C5" s="17">
        <v>4.5999999999999996</v>
      </c>
    </row>
    <row r="6" spans="1:3" x14ac:dyDescent="0.35">
      <c r="A6" s="15" t="s">
        <v>44</v>
      </c>
      <c r="B6" s="17">
        <v>49</v>
      </c>
      <c r="C6" s="17">
        <v>4.5999999999999996</v>
      </c>
    </row>
    <row r="7" spans="1:3" x14ac:dyDescent="0.35">
      <c r="A7" s="15" t="s">
        <v>34</v>
      </c>
      <c r="B7" s="17">
        <v>44</v>
      </c>
      <c r="C7" s="17">
        <v>4.5999999999999996</v>
      </c>
    </row>
    <row r="8" spans="1:3" x14ac:dyDescent="0.35">
      <c r="A8" s="15" t="s">
        <v>24</v>
      </c>
      <c r="B8" s="17">
        <v>39</v>
      </c>
      <c r="C8" s="17">
        <v>4.7</v>
      </c>
    </row>
    <row r="9" spans="1:3" x14ac:dyDescent="0.35">
      <c r="A9" s="15" t="s">
        <v>56</v>
      </c>
      <c r="B9" s="17">
        <v>36</v>
      </c>
      <c r="C9" s="17">
        <v>4.3</v>
      </c>
    </row>
    <row r="10" spans="1:3" x14ac:dyDescent="0.35">
      <c r="A10" s="15" t="s">
        <v>53</v>
      </c>
      <c r="B10" s="17">
        <v>32</v>
      </c>
      <c r="C10" s="17">
        <v>4.5</v>
      </c>
    </row>
    <row r="11" spans="1:3" x14ac:dyDescent="0.35">
      <c r="A11" s="15" t="s">
        <v>10</v>
      </c>
      <c r="B11" s="17">
        <v>24</v>
      </c>
      <c r="C11" s="17">
        <v>4.5999999999999996</v>
      </c>
    </row>
    <row r="12" spans="1:3" x14ac:dyDescent="0.35">
      <c r="A12" s="15" t="s">
        <v>52</v>
      </c>
      <c r="B12" s="17">
        <v>20</v>
      </c>
      <c r="C12" s="17">
        <v>4.7</v>
      </c>
    </row>
    <row r="13" spans="1:3" x14ac:dyDescent="0.35">
      <c r="A13" s="15" t="s">
        <v>47</v>
      </c>
      <c r="B13" s="17">
        <v>20</v>
      </c>
      <c r="C13" s="17">
        <v>4.0999999999999996</v>
      </c>
    </row>
    <row r="14" spans="1:3" x14ac:dyDescent="0.35">
      <c r="A14" s="15" t="s">
        <v>96</v>
      </c>
      <c r="B14" s="17">
        <v>17</v>
      </c>
      <c r="C14" s="17">
        <v>2.6</v>
      </c>
    </row>
    <row r="15" spans="1:3" x14ac:dyDescent="0.35">
      <c r="A15" s="15" t="s">
        <v>89</v>
      </c>
      <c r="B15" s="17">
        <v>16</v>
      </c>
      <c r="C15" s="17">
        <v>2.9</v>
      </c>
    </row>
    <row r="16" spans="1:3" x14ac:dyDescent="0.35">
      <c r="A16" s="15" t="s">
        <v>87</v>
      </c>
      <c r="B16" s="17">
        <v>15</v>
      </c>
      <c r="C16" s="17">
        <v>2.7</v>
      </c>
    </row>
    <row r="17" spans="1:3" x14ac:dyDescent="0.35">
      <c r="A17" s="15" t="s">
        <v>16</v>
      </c>
      <c r="B17" s="17">
        <v>15</v>
      </c>
      <c r="C17" s="17">
        <v>4</v>
      </c>
    </row>
    <row r="18" spans="1:3" x14ac:dyDescent="0.35">
      <c r="A18" s="15" t="s">
        <v>8</v>
      </c>
      <c r="B18" s="17">
        <v>14</v>
      </c>
      <c r="C18" s="17">
        <v>4.0999999999999996</v>
      </c>
    </row>
    <row r="19" spans="1:3" x14ac:dyDescent="0.35">
      <c r="A19" s="15" t="s">
        <v>40</v>
      </c>
      <c r="B19" s="17">
        <v>14</v>
      </c>
      <c r="C19" s="17">
        <v>4.4000000000000004</v>
      </c>
    </row>
    <row r="20" spans="1:3" x14ac:dyDescent="0.35">
      <c r="A20" s="15" t="s">
        <v>46</v>
      </c>
      <c r="B20" s="17">
        <v>13</v>
      </c>
      <c r="C20" s="17">
        <v>3.8</v>
      </c>
    </row>
    <row r="21" spans="1:3" x14ac:dyDescent="0.35">
      <c r="A21" s="15" t="s">
        <v>35</v>
      </c>
      <c r="B21" s="17">
        <v>13</v>
      </c>
      <c r="C21" s="17">
        <v>3.3</v>
      </c>
    </row>
    <row r="22" spans="1:3" x14ac:dyDescent="0.35">
      <c r="A22" s="15" t="s">
        <v>83</v>
      </c>
      <c r="B22" s="17">
        <v>13</v>
      </c>
      <c r="C22" s="17">
        <v>2.1</v>
      </c>
    </row>
    <row r="23" spans="1:3" x14ac:dyDescent="0.35">
      <c r="A23" s="15" t="s">
        <v>25</v>
      </c>
      <c r="B23" s="17">
        <v>12</v>
      </c>
      <c r="C23" s="17">
        <v>4.8</v>
      </c>
    </row>
    <row r="24" spans="1:3" x14ac:dyDescent="0.35">
      <c r="A24" s="15" t="s">
        <v>45</v>
      </c>
      <c r="B24" s="17">
        <v>12</v>
      </c>
      <c r="C24" s="17">
        <v>3.8</v>
      </c>
    </row>
    <row r="25" spans="1:3" x14ac:dyDescent="0.35">
      <c r="A25" s="15" t="s">
        <v>23</v>
      </c>
      <c r="B25" s="17">
        <v>12</v>
      </c>
      <c r="C25" s="17">
        <v>4.0999999999999996</v>
      </c>
    </row>
    <row r="26" spans="1:3" x14ac:dyDescent="0.35">
      <c r="A26" s="15" t="s">
        <v>50</v>
      </c>
      <c r="B26" s="17">
        <v>12</v>
      </c>
      <c r="C26" s="17">
        <v>4.7</v>
      </c>
    </row>
    <row r="27" spans="1:3" x14ac:dyDescent="0.35">
      <c r="A27" s="15" t="s">
        <v>81</v>
      </c>
      <c r="B27" s="17">
        <v>10</v>
      </c>
      <c r="C27" s="17">
        <v>3</v>
      </c>
    </row>
    <row r="28" spans="1:3" x14ac:dyDescent="0.35">
      <c r="A28" s="15" t="s">
        <v>49</v>
      </c>
      <c r="B28" s="17">
        <v>9</v>
      </c>
      <c r="C28" s="17">
        <v>4.3</v>
      </c>
    </row>
    <row r="29" spans="1:3" x14ac:dyDescent="0.35">
      <c r="A29" s="15" t="s">
        <v>27</v>
      </c>
      <c r="B29" s="17">
        <v>9</v>
      </c>
      <c r="C29" s="17">
        <v>4.2</v>
      </c>
    </row>
    <row r="30" spans="1:3" x14ac:dyDescent="0.35">
      <c r="A30" s="15" t="s">
        <v>51</v>
      </c>
      <c r="B30" s="17">
        <v>9</v>
      </c>
      <c r="C30" s="17">
        <v>4.3</v>
      </c>
    </row>
    <row r="31" spans="1:3" x14ac:dyDescent="0.35">
      <c r="A31" s="15" t="s">
        <v>42</v>
      </c>
      <c r="B31" s="17">
        <v>7</v>
      </c>
      <c r="C31" s="17">
        <v>4.3</v>
      </c>
    </row>
    <row r="32" spans="1:3" x14ac:dyDescent="0.35">
      <c r="A32" s="15" t="s">
        <v>93</v>
      </c>
      <c r="B32" s="17">
        <v>7</v>
      </c>
      <c r="C32" s="17">
        <v>2.2999999999999998</v>
      </c>
    </row>
    <row r="33" spans="1:3" x14ac:dyDescent="0.35">
      <c r="A33" s="15" t="s">
        <v>102</v>
      </c>
      <c r="B33" s="17">
        <v>7</v>
      </c>
      <c r="C33" s="17">
        <v>2.1</v>
      </c>
    </row>
    <row r="34" spans="1:3" x14ac:dyDescent="0.35">
      <c r="A34" s="15" t="s">
        <v>12</v>
      </c>
      <c r="B34" s="17">
        <v>7</v>
      </c>
      <c r="C34" s="17">
        <v>4.7</v>
      </c>
    </row>
    <row r="35" spans="1:3" x14ac:dyDescent="0.35">
      <c r="A35" s="15" t="s">
        <v>26</v>
      </c>
      <c r="B35" s="17">
        <v>6</v>
      </c>
      <c r="C35" s="17">
        <v>4.5</v>
      </c>
    </row>
    <row r="36" spans="1:3" x14ac:dyDescent="0.35">
      <c r="A36" s="15" t="s">
        <v>99</v>
      </c>
      <c r="B36" s="17">
        <v>6</v>
      </c>
      <c r="C36" s="17">
        <v>2.2999999999999998</v>
      </c>
    </row>
    <row r="37" spans="1:3" x14ac:dyDescent="0.35">
      <c r="A37" s="15" t="s">
        <v>91</v>
      </c>
      <c r="B37" s="17">
        <v>6</v>
      </c>
      <c r="C37" s="17">
        <v>2.2000000000000002</v>
      </c>
    </row>
    <row r="38" spans="1:3" x14ac:dyDescent="0.35">
      <c r="A38" s="15" t="s">
        <v>39</v>
      </c>
      <c r="B38" s="17">
        <v>6</v>
      </c>
      <c r="C38" s="17">
        <v>4</v>
      </c>
    </row>
    <row r="39" spans="1:3" x14ac:dyDescent="0.35">
      <c r="A39" s="15" t="s">
        <v>79</v>
      </c>
      <c r="B39" s="17">
        <v>6</v>
      </c>
      <c r="C39" s="17">
        <v>2.5</v>
      </c>
    </row>
    <row r="40" spans="1:3" x14ac:dyDescent="0.35">
      <c r="A40" s="15" t="s">
        <v>101</v>
      </c>
      <c r="B40" s="17">
        <v>6</v>
      </c>
      <c r="C40" s="17">
        <v>2.2000000000000002</v>
      </c>
    </row>
    <row r="41" spans="1:3" x14ac:dyDescent="0.35">
      <c r="A41" s="15" t="s">
        <v>98</v>
      </c>
      <c r="B41" s="17">
        <v>5</v>
      </c>
      <c r="C41" s="17">
        <v>3</v>
      </c>
    </row>
    <row r="42" spans="1:3" x14ac:dyDescent="0.35">
      <c r="A42" s="15" t="s">
        <v>33</v>
      </c>
      <c r="B42" s="17">
        <v>5</v>
      </c>
      <c r="C42" s="17">
        <v>4.5999999999999996</v>
      </c>
    </row>
    <row r="43" spans="1:3" x14ac:dyDescent="0.35">
      <c r="A43" s="15" t="s">
        <v>21</v>
      </c>
      <c r="B43" s="17">
        <v>5</v>
      </c>
      <c r="C43" s="17">
        <v>3.8</v>
      </c>
    </row>
    <row r="44" spans="1:3" x14ac:dyDescent="0.35">
      <c r="A44" s="15" t="s">
        <v>14</v>
      </c>
      <c r="B44" s="17">
        <v>5</v>
      </c>
      <c r="C44" s="17">
        <v>4.8</v>
      </c>
    </row>
    <row r="45" spans="1:3" x14ac:dyDescent="0.35">
      <c r="A45" s="15" t="s">
        <v>20</v>
      </c>
      <c r="B45" s="17">
        <v>5</v>
      </c>
      <c r="C45" s="17">
        <v>4.8</v>
      </c>
    </row>
    <row r="46" spans="1:3" x14ac:dyDescent="0.35">
      <c r="A46" s="15" t="s">
        <v>95</v>
      </c>
      <c r="B46" s="17">
        <v>5</v>
      </c>
      <c r="C46" s="17">
        <v>3</v>
      </c>
    </row>
    <row r="47" spans="1:3" x14ac:dyDescent="0.35">
      <c r="A47" s="15" t="s">
        <v>100</v>
      </c>
      <c r="B47" s="17">
        <v>5</v>
      </c>
      <c r="C47" s="17">
        <v>3</v>
      </c>
    </row>
    <row r="48" spans="1:3" x14ac:dyDescent="0.35">
      <c r="A48" s="15" t="s">
        <v>32</v>
      </c>
      <c r="B48" s="17">
        <v>3</v>
      </c>
      <c r="C48" s="17">
        <v>5</v>
      </c>
    </row>
    <row r="49" spans="1:3" x14ac:dyDescent="0.35">
      <c r="A49" s="15" t="s">
        <v>19</v>
      </c>
      <c r="B49" s="17">
        <v>2</v>
      </c>
      <c r="C49" s="17">
        <v>4</v>
      </c>
    </row>
    <row r="50" spans="1:3" x14ac:dyDescent="0.35">
      <c r="A50" s="15" t="s">
        <v>29</v>
      </c>
      <c r="B50" s="17">
        <v>2</v>
      </c>
      <c r="C50" s="17">
        <v>5</v>
      </c>
    </row>
    <row r="51" spans="1:3" x14ac:dyDescent="0.35">
      <c r="A51" s="15" t="s">
        <v>55</v>
      </c>
      <c r="B51" s="17">
        <v>2</v>
      </c>
      <c r="C51" s="17">
        <v>5</v>
      </c>
    </row>
    <row r="52" spans="1:3" x14ac:dyDescent="0.35">
      <c r="A52" s="15" t="s">
        <v>31</v>
      </c>
      <c r="B52" s="17">
        <v>2</v>
      </c>
      <c r="C52" s="17">
        <v>5</v>
      </c>
    </row>
    <row r="53" spans="1:3" x14ac:dyDescent="0.35">
      <c r="A53" s="15" t="s">
        <v>57</v>
      </c>
      <c r="B53" s="17">
        <v>2</v>
      </c>
      <c r="C53" s="17">
        <v>4.5</v>
      </c>
    </row>
    <row r="54" spans="1:3" x14ac:dyDescent="0.35">
      <c r="A54" s="15" t="s">
        <v>151</v>
      </c>
      <c r="B54" s="17">
        <v>2</v>
      </c>
      <c r="C54" s="17">
        <v>4.5</v>
      </c>
    </row>
    <row r="55" spans="1:3" x14ac:dyDescent="0.35">
      <c r="A55" s="15" t="s">
        <v>128</v>
      </c>
      <c r="B55" s="17">
        <v>1</v>
      </c>
      <c r="C55" s="17">
        <v>5</v>
      </c>
    </row>
    <row r="56" spans="1:3" x14ac:dyDescent="0.35">
      <c r="A56" s="15" t="s">
        <v>107</v>
      </c>
      <c r="B56" s="17">
        <v>1</v>
      </c>
      <c r="C56" s="17">
        <v>3</v>
      </c>
    </row>
    <row r="57" spans="1:3" x14ac:dyDescent="0.35">
      <c r="A57" s="15" t="s">
        <v>54</v>
      </c>
      <c r="B57" s="17">
        <v>1</v>
      </c>
      <c r="C57" s="17">
        <v>5</v>
      </c>
    </row>
    <row r="58" spans="1:3" x14ac:dyDescent="0.35">
      <c r="A58" s="15" t="s">
        <v>108</v>
      </c>
      <c r="B58" s="17">
        <v>1</v>
      </c>
      <c r="C58" s="17">
        <v>5</v>
      </c>
    </row>
    <row r="59" spans="1:3" x14ac:dyDescent="0.35">
      <c r="A59" s="15" t="s">
        <v>111</v>
      </c>
      <c r="B59" s="17">
        <v>1</v>
      </c>
      <c r="C59" s="17">
        <v>4</v>
      </c>
    </row>
    <row r="60" spans="1:3" x14ac:dyDescent="0.35">
      <c r="A60" s="15" t="s">
        <v>137</v>
      </c>
      <c r="B60" s="17">
        <v>1</v>
      </c>
      <c r="C60" s="17">
        <v>2</v>
      </c>
    </row>
    <row r="61" spans="1:3" x14ac:dyDescent="0.35">
      <c r="A61" s="15" t="s">
        <v>71</v>
      </c>
      <c r="B61" s="17" t="e">
        <v>#DIV/0!</v>
      </c>
      <c r="C61" s="17" t="e">
        <v>#DIV/0!</v>
      </c>
    </row>
    <row r="62" spans="1:3" x14ac:dyDescent="0.35">
      <c r="A62" s="15" t="s">
        <v>127</v>
      </c>
      <c r="B62" s="17" t="e">
        <v>#DIV/0!</v>
      </c>
      <c r="C62" s="17" t="e">
        <v>#DIV/0!</v>
      </c>
    </row>
    <row r="63" spans="1:3" x14ac:dyDescent="0.35">
      <c r="A63" s="15" t="s">
        <v>119</v>
      </c>
      <c r="B63" s="17" t="e">
        <v>#DIV/0!</v>
      </c>
      <c r="C63" s="17" t="e">
        <v>#DIV/0!</v>
      </c>
    </row>
    <row r="64" spans="1:3" x14ac:dyDescent="0.35">
      <c r="A64" s="15" t="s">
        <v>130</v>
      </c>
      <c r="B64" s="17" t="e">
        <v>#DIV/0!</v>
      </c>
      <c r="C64" s="17" t="e">
        <v>#DIV/0!</v>
      </c>
    </row>
    <row r="65" spans="1:3" x14ac:dyDescent="0.35">
      <c r="A65" s="15" t="s">
        <v>129</v>
      </c>
      <c r="B65" s="17" t="e">
        <v>#DIV/0!</v>
      </c>
      <c r="C65" s="17" t="e">
        <v>#DIV/0!</v>
      </c>
    </row>
    <row r="66" spans="1:3" x14ac:dyDescent="0.35">
      <c r="A66" s="15" t="s">
        <v>61</v>
      </c>
      <c r="B66" s="17" t="e">
        <v>#DIV/0!</v>
      </c>
      <c r="C66" s="17" t="e">
        <v>#DIV/0!</v>
      </c>
    </row>
    <row r="67" spans="1:3" x14ac:dyDescent="0.35">
      <c r="A67" s="15" t="s">
        <v>123</v>
      </c>
      <c r="B67" s="17" t="e">
        <v>#DIV/0!</v>
      </c>
      <c r="C67" s="17" t="e">
        <v>#DIV/0!</v>
      </c>
    </row>
    <row r="68" spans="1:3" x14ac:dyDescent="0.35">
      <c r="A68" s="15" t="s">
        <v>37</v>
      </c>
      <c r="B68" s="17" t="e">
        <v>#DIV/0!</v>
      </c>
      <c r="C68" s="17" t="e">
        <v>#DIV/0!</v>
      </c>
    </row>
    <row r="69" spans="1:3" x14ac:dyDescent="0.35">
      <c r="A69" s="15" t="s">
        <v>135</v>
      </c>
      <c r="B69" s="17" t="e">
        <v>#DIV/0!</v>
      </c>
      <c r="C69" s="17" t="e">
        <v>#DIV/0!</v>
      </c>
    </row>
    <row r="70" spans="1:3" x14ac:dyDescent="0.35">
      <c r="A70" s="15" t="s">
        <v>121</v>
      </c>
      <c r="B70" s="17" t="e">
        <v>#DIV/0!</v>
      </c>
      <c r="C70" s="17" t="e">
        <v>#DIV/0!</v>
      </c>
    </row>
    <row r="71" spans="1:3" x14ac:dyDescent="0.35">
      <c r="A71" s="15" t="s">
        <v>48</v>
      </c>
      <c r="B71" s="17" t="e">
        <v>#DIV/0!</v>
      </c>
      <c r="C71" s="17" t="e">
        <v>#DIV/0!</v>
      </c>
    </row>
    <row r="72" spans="1:3" x14ac:dyDescent="0.35">
      <c r="A72" s="15" t="s">
        <v>68</v>
      </c>
      <c r="B72" s="17" t="e">
        <v>#DIV/0!</v>
      </c>
      <c r="C72" s="17" t="e">
        <v>#DIV/0!</v>
      </c>
    </row>
    <row r="73" spans="1:3" x14ac:dyDescent="0.35">
      <c r="A73" s="15" t="s">
        <v>114</v>
      </c>
      <c r="B73" s="17" t="e">
        <v>#DIV/0!</v>
      </c>
      <c r="C73" s="17" t="e">
        <v>#DIV/0!</v>
      </c>
    </row>
    <row r="74" spans="1:3" x14ac:dyDescent="0.35">
      <c r="A74" s="15" t="s">
        <v>133</v>
      </c>
      <c r="B74" s="17" t="e">
        <v>#DIV/0!</v>
      </c>
      <c r="C74" s="17" t="e">
        <v>#DIV/0!</v>
      </c>
    </row>
    <row r="75" spans="1:3" x14ac:dyDescent="0.35">
      <c r="A75" s="15" t="s">
        <v>104</v>
      </c>
      <c r="B75" s="17" t="e">
        <v>#DIV/0!</v>
      </c>
      <c r="C75" s="17" t="e">
        <v>#DIV/0!</v>
      </c>
    </row>
    <row r="76" spans="1:3" x14ac:dyDescent="0.35">
      <c r="A76" s="15" t="s">
        <v>103</v>
      </c>
      <c r="B76" s="17" t="e">
        <v>#DIV/0!</v>
      </c>
      <c r="C76" s="17" t="e">
        <v>#DIV/0!</v>
      </c>
    </row>
    <row r="77" spans="1:3" x14ac:dyDescent="0.35">
      <c r="A77" s="15" t="s">
        <v>118</v>
      </c>
      <c r="B77" s="17" t="e">
        <v>#DIV/0!</v>
      </c>
      <c r="C77" s="17" t="e">
        <v>#DIV/0!</v>
      </c>
    </row>
    <row r="78" spans="1:3" x14ac:dyDescent="0.35">
      <c r="A78" s="15" t="s">
        <v>65</v>
      </c>
      <c r="B78" s="17" t="e">
        <v>#DIV/0!</v>
      </c>
      <c r="C78" s="17" t="e">
        <v>#DIV/0!</v>
      </c>
    </row>
    <row r="79" spans="1:3" x14ac:dyDescent="0.35">
      <c r="A79" s="15" t="s">
        <v>134</v>
      </c>
      <c r="B79" s="17" t="e">
        <v>#DIV/0!</v>
      </c>
      <c r="C79" s="17" t="e">
        <v>#DIV/0!</v>
      </c>
    </row>
    <row r="80" spans="1:3" x14ac:dyDescent="0.35">
      <c r="A80" s="15" t="s">
        <v>78</v>
      </c>
      <c r="B80" s="17" t="e">
        <v>#DIV/0!</v>
      </c>
      <c r="C80" s="17" t="e">
        <v>#DIV/0!</v>
      </c>
    </row>
    <row r="81" spans="1:3" x14ac:dyDescent="0.35">
      <c r="A81" s="15" t="s">
        <v>117</v>
      </c>
      <c r="B81" s="17" t="e">
        <v>#DIV/0!</v>
      </c>
      <c r="C81" s="17" t="e">
        <v>#DIV/0!</v>
      </c>
    </row>
    <row r="82" spans="1:3" x14ac:dyDescent="0.35">
      <c r="A82" s="15" t="s">
        <v>109</v>
      </c>
      <c r="B82" s="17" t="e">
        <v>#DIV/0!</v>
      </c>
      <c r="C82" s="17" t="e">
        <v>#DIV/0!</v>
      </c>
    </row>
    <row r="83" spans="1:3" x14ac:dyDescent="0.35">
      <c r="A83" s="15" t="s">
        <v>116</v>
      </c>
      <c r="B83" s="17" t="e">
        <v>#DIV/0!</v>
      </c>
      <c r="C83" s="17" t="e">
        <v>#DIV/0!</v>
      </c>
    </row>
    <row r="84" spans="1:3" x14ac:dyDescent="0.35">
      <c r="A84" s="15" t="s">
        <v>76</v>
      </c>
      <c r="B84" s="17" t="e">
        <v>#DIV/0!</v>
      </c>
      <c r="C84" s="17" t="e">
        <v>#DIV/0!</v>
      </c>
    </row>
    <row r="85" spans="1:3" x14ac:dyDescent="0.35">
      <c r="A85" s="15" t="s">
        <v>73</v>
      </c>
      <c r="B85" s="17" t="e">
        <v>#DIV/0!</v>
      </c>
      <c r="C85" s="17" t="e">
        <v>#DIV/0!</v>
      </c>
    </row>
    <row r="86" spans="1:3" x14ac:dyDescent="0.35">
      <c r="A86" s="15" t="s">
        <v>131</v>
      </c>
      <c r="B86" s="17" t="e">
        <v>#DIV/0!</v>
      </c>
      <c r="C86" s="17" t="e">
        <v>#DIV/0!</v>
      </c>
    </row>
    <row r="87" spans="1:3" x14ac:dyDescent="0.35">
      <c r="A87" s="15" t="s">
        <v>112</v>
      </c>
      <c r="B87" s="17" t="e">
        <v>#DIV/0!</v>
      </c>
      <c r="C87" s="17" t="e">
        <v>#DIV/0!</v>
      </c>
    </row>
    <row r="88" spans="1:3" x14ac:dyDescent="0.35">
      <c r="A88" s="15" t="s">
        <v>136</v>
      </c>
      <c r="B88" s="17" t="e">
        <v>#DIV/0!</v>
      </c>
      <c r="C88" s="17" t="e">
        <v>#DIV/0!</v>
      </c>
    </row>
    <row r="89" spans="1:3" x14ac:dyDescent="0.35">
      <c r="A89" s="15" t="s">
        <v>70</v>
      </c>
      <c r="B89" s="17" t="e">
        <v>#DIV/0!</v>
      </c>
      <c r="C89" s="17" t="e">
        <v>#DIV/0!</v>
      </c>
    </row>
    <row r="90" spans="1:3" x14ac:dyDescent="0.35">
      <c r="A90" s="15" t="s">
        <v>60</v>
      </c>
      <c r="B90" s="17" t="e">
        <v>#DIV/0!</v>
      </c>
      <c r="C90" s="17" t="e">
        <v>#DIV/0!</v>
      </c>
    </row>
    <row r="91" spans="1:3" x14ac:dyDescent="0.35">
      <c r="A91" s="15" t="s">
        <v>72</v>
      </c>
      <c r="B91" s="17" t="e">
        <v>#DIV/0!</v>
      </c>
      <c r="C91" s="17" t="e">
        <v>#DIV/0!</v>
      </c>
    </row>
    <row r="92" spans="1:3" x14ac:dyDescent="0.35">
      <c r="A92" s="15" t="s">
        <v>120</v>
      </c>
      <c r="B92" s="17" t="e">
        <v>#DIV/0!</v>
      </c>
      <c r="C92" s="17" t="e">
        <v>#DIV/0!</v>
      </c>
    </row>
    <row r="93" spans="1:3" x14ac:dyDescent="0.35">
      <c r="A93" s="15" t="s">
        <v>77</v>
      </c>
      <c r="B93" s="17" t="e">
        <v>#DIV/0!</v>
      </c>
      <c r="C93" s="17" t="e">
        <v>#DIV/0!</v>
      </c>
    </row>
    <row r="94" spans="1:3" x14ac:dyDescent="0.35">
      <c r="A94" s="15" t="s">
        <v>122</v>
      </c>
      <c r="B94" s="17" t="e">
        <v>#DIV/0!</v>
      </c>
      <c r="C94" s="17" t="e">
        <v>#DIV/0!</v>
      </c>
    </row>
    <row r="95" spans="1:3" x14ac:dyDescent="0.35">
      <c r="A95" s="15" t="s">
        <v>74</v>
      </c>
      <c r="B95" s="17" t="e">
        <v>#DIV/0!</v>
      </c>
      <c r="C95" s="17" t="e">
        <v>#DIV/0!</v>
      </c>
    </row>
    <row r="96" spans="1:3" x14ac:dyDescent="0.35">
      <c r="A96" s="15" t="s">
        <v>115</v>
      </c>
      <c r="B96" s="17" t="e">
        <v>#DIV/0!</v>
      </c>
      <c r="C96" s="17" t="e">
        <v>#DIV/0!</v>
      </c>
    </row>
    <row r="97" spans="1:3" x14ac:dyDescent="0.35">
      <c r="A97" s="15" t="s">
        <v>67</v>
      </c>
      <c r="B97" s="17" t="e">
        <v>#DIV/0!</v>
      </c>
      <c r="C97" s="17" t="e">
        <v>#DIV/0!</v>
      </c>
    </row>
    <row r="98" spans="1:3" x14ac:dyDescent="0.35">
      <c r="A98" s="15" t="s">
        <v>139</v>
      </c>
      <c r="B98" s="17" t="e">
        <v>#DIV/0!</v>
      </c>
      <c r="C98" s="17" t="e">
        <v>#DIV/0!</v>
      </c>
    </row>
    <row r="99" spans="1:3" x14ac:dyDescent="0.35">
      <c r="A99" s="15" t="s">
        <v>64</v>
      </c>
      <c r="B99" s="17" t="e">
        <v>#DIV/0!</v>
      </c>
      <c r="C99" s="17" t="e">
        <v>#DIV/0!</v>
      </c>
    </row>
    <row r="100" spans="1:3" x14ac:dyDescent="0.35">
      <c r="A100" s="15" t="s">
        <v>124</v>
      </c>
      <c r="B100" s="17" t="e">
        <v>#DIV/0!</v>
      </c>
      <c r="C100" s="17" t="e">
        <v>#DIV/0!</v>
      </c>
    </row>
    <row r="101" spans="1:3" x14ac:dyDescent="0.35">
      <c r="A101" s="15" t="s">
        <v>75</v>
      </c>
      <c r="B101" s="17" t="e">
        <v>#DIV/0!</v>
      </c>
      <c r="C101" s="17" t="e">
        <v>#DIV/0!</v>
      </c>
    </row>
    <row r="102" spans="1:3" x14ac:dyDescent="0.35">
      <c r="A102" s="15" t="s">
        <v>110</v>
      </c>
      <c r="B102" s="17" t="e">
        <v>#DIV/0!</v>
      </c>
      <c r="C102" s="17" t="e">
        <v>#DIV/0!</v>
      </c>
    </row>
    <row r="103" spans="1:3" x14ac:dyDescent="0.35">
      <c r="A103" s="15" t="s">
        <v>126</v>
      </c>
      <c r="B103" s="17" t="e">
        <v>#DIV/0!</v>
      </c>
      <c r="C103" s="17" t="e">
        <v>#DIV/0!</v>
      </c>
    </row>
    <row r="104" spans="1:3" x14ac:dyDescent="0.35">
      <c r="A104" s="15" t="s">
        <v>125</v>
      </c>
      <c r="B104" s="17" t="e">
        <v>#DIV/0!</v>
      </c>
      <c r="C104" s="17" t="e">
        <v>#DIV/0!</v>
      </c>
    </row>
    <row r="105" spans="1:3" x14ac:dyDescent="0.35">
      <c r="A105" s="15" t="s">
        <v>113</v>
      </c>
      <c r="B105" s="17" t="e">
        <v>#DIV/0!</v>
      </c>
      <c r="C105" s="17" t="e">
        <v>#DIV/0!</v>
      </c>
    </row>
    <row r="106" spans="1:3" x14ac:dyDescent="0.35">
      <c r="A106" s="15" t="s">
        <v>62</v>
      </c>
      <c r="B106" s="17" t="e">
        <v>#DIV/0!</v>
      </c>
      <c r="C106" s="17" t="e">
        <v>#DIV/0!</v>
      </c>
    </row>
    <row r="107" spans="1:3" x14ac:dyDescent="0.35">
      <c r="A107" s="15" t="s">
        <v>66</v>
      </c>
      <c r="B107" s="17" t="e">
        <v>#DIV/0!</v>
      </c>
      <c r="C107" s="17" t="e">
        <v>#DIV/0!</v>
      </c>
    </row>
    <row r="108" spans="1:3" x14ac:dyDescent="0.35">
      <c r="A108" s="15" t="s">
        <v>63</v>
      </c>
      <c r="B108" s="17" t="e">
        <v>#DIV/0!</v>
      </c>
      <c r="C108" s="17" t="e">
        <v>#DIV/0!</v>
      </c>
    </row>
    <row r="109" spans="1:3" x14ac:dyDescent="0.35">
      <c r="A109" s="15" t="s">
        <v>132</v>
      </c>
      <c r="B109" s="17" t="e">
        <v>#DIV/0!</v>
      </c>
      <c r="C109" s="17" t="e">
        <v>#DIV/0!</v>
      </c>
    </row>
    <row r="110" spans="1:3" x14ac:dyDescent="0.35">
      <c r="A110" s="15" t="s">
        <v>106</v>
      </c>
      <c r="B110" s="17" t="e">
        <v>#DIV/0!</v>
      </c>
      <c r="C110" s="17" t="e">
        <v>#DIV/0!</v>
      </c>
    </row>
    <row r="111" spans="1:3" x14ac:dyDescent="0.35">
      <c r="A111" s="15" t="s">
        <v>69</v>
      </c>
      <c r="B111" s="17" t="e">
        <v>#DIV/0!</v>
      </c>
      <c r="C111" s="17" t="e">
        <v>#DIV/0!</v>
      </c>
    </row>
    <row r="112" spans="1:3" x14ac:dyDescent="0.35">
      <c r="A112" s="15" t="s">
        <v>105</v>
      </c>
      <c r="B112" s="17" t="e">
        <v>#DIV/0!</v>
      </c>
      <c r="C112" s="17" t="e">
        <v>#DIV/0!</v>
      </c>
    </row>
    <row r="113" spans="1:3" x14ac:dyDescent="0.35">
      <c r="A113" s="15" t="s">
        <v>158</v>
      </c>
      <c r="B113" s="17">
        <v>12.684210526315789</v>
      </c>
      <c r="C113" s="17">
        <v>3.8894736842105266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EC458-5C58-4133-B11F-D86540032C52}">
  <dimension ref="A3:D113"/>
  <sheetViews>
    <sheetView topLeftCell="B1" workbookViewId="0">
      <selection activeCell="C5" sqref="C5"/>
    </sheetView>
  </sheetViews>
  <sheetFormatPr defaultRowHeight="14.5" x14ac:dyDescent="0.35"/>
  <cols>
    <col min="1" max="1" width="89.1796875" bestFit="1" customWidth="1"/>
    <col min="2" max="2" width="16.1796875" bestFit="1" customWidth="1"/>
    <col min="3" max="3" width="15.54296875" bestFit="1" customWidth="1"/>
    <col min="4" max="4" width="21.453125" bestFit="1" customWidth="1"/>
  </cols>
  <sheetData>
    <row r="3" spans="1:4" x14ac:dyDescent="0.35">
      <c r="A3" s="14" t="s">
        <v>154</v>
      </c>
      <c r="B3" t="s">
        <v>159</v>
      </c>
      <c r="C3" t="s">
        <v>163</v>
      </c>
      <c r="D3" t="s">
        <v>169</v>
      </c>
    </row>
    <row r="4" spans="1:4" x14ac:dyDescent="0.35">
      <c r="A4" s="15" t="s">
        <v>54</v>
      </c>
      <c r="B4" s="17">
        <v>1</v>
      </c>
      <c r="C4" s="17">
        <v>5</v>
      </c>
      <c r="D4" s="3">
        <v>1620</v>
      </c>
    </row>
    <row r="5" spans="1:4" x14ac:dyDescent="0.35">
      <c r="A5" s="15" t="s">
        <v>137</v>
      </c>
      <c r="B5" s="17">
        <v>1</v>
      </c>
      <c r="C5" s="17">
        <v>2</v>
      </c>
      <c r="D5" s="3">
        <v>450</v>
      </c>
    </row>
    <row r="6" spans="1:4" x14ac:dyDescent="0.35">
      <c r="A6" s="15" t="s">
        <v>107</v>
      </c>
      <c r="B6" s="17">
        <v>1</v>
      </c>
      <c r="C6" s="17">
        <v>3</v>
      </c>
      <c r="D6" s="3">
        <v>1189</v>
      </c>
    </row>
    <row r="7" spans="1:4" x14ac:dyDescent="0.35">
      <c r="A7" s="15" t="s">
        <v>111</v>
      </c>
      <c r="B7" s="17">
        <v>1</v>
      </c>
      <c r="C7" s="17">
        <v>4</v>
      </c>
      <c r="D7" s="3">
        <v>330</v>
      </c>
    </row>
    <row r="8" spans="1:4" x14ac:dyDescent="0.35">
      <c r="A8" s="15" t="s">
        <v>108</v>
      </c>
      <c r="B8" s="17">
        <v>1</v>
      </c>
      <c r="C8" s="17">
        <v>5</v>
      </c>
      <c r="D8" s="3">
        <v>979</v>
      </c>
    </row>
    <row r="9" spans="1:4" x14ac:dyDescent="0.35">
      <c r="A9" s="15" t="s">
        <v>128</v>
      </c>
      <c r="B9" s="17">
        <v>1</v>
      </c>
      <c r="C9" s="17">
        <v>5</v>
      </c>
      <c r="D9" s="3">
        <v>3640</v>
      </c>
    </row>
    <row r="10" spans="1:4" x14ac:dyDescent="0.35">
      <c r="A10" s="15" t="s">
        <v>19</v>
      </c>
      <c r="B10" s="17">
        <v>2</v>
      </c>
      <c r="C10" s="17">
        <v>4</v>
      </c>
      <c r="D10" s="3">
        <v>988</v>
      </c>
    </row>
    <row r="11" spans="1:4" x14ac:dyDescent="0.35">
      <c r="A11" s="15" t="s">
        <v>57</v>
      </c>
      <c r="B11" s="17">
        <v>2</v>
      </c>
      <c r="C11" s="17">
        <v>4.5</v>
      </c>
      <c r="D11" s="3">
        <v>1800</v>
      </c>
    </row>
    <row r="12" spans="1:4" x14ac:dyDescent="0.35">
      <c r="A12" s="15" t="s">
        <v>151</v>
      </c>
      <c r="B12" s="17">
        <v>2</v>
      </c>
      <c r="C12" s="17">
        <v>4.5</v>
      </c>
      <c r="D12" s="3">
        <v>950</v>
      </c>
    </row>
    <row r="13" spans="1:4" x14ac:dyDescent="0.35">
      <c r="A13" s="15" t="s">
        <v>55</v>
      </c>
      <c r="B13" s="17">
        <v>2</v>
      </c>
      <c r="C13" s="17">
        <v>5</v>
      </c>
      <c r="D13" s="3">
        <v>171</v>
      </c>
    </row>
    <row r="14" spans="1:4" x14ac:dyDescent="0.35">
      <c r="A14" s="15" t="s">
        <v>31</v>
      </c>
      <c r="B14" s="17">
        <v>2</v>
      </c>
      <c r="C14" s="17">
        <v>5</v>
      </c>
      <c r="D14" s="3">
        <v>195</v>
      </c>
    </row>
    <row r="15" spans="1:4" x14ac:dyDescent="0.35">
      <c r="A15" s="15" t="s">
        <v>29</v>
      </c>
      <c r="B15" s="17">
        <v>2</v>
      </c>
      <c r="C15" s="17">
        <v>5</v>
      </c>
      <c r="D15" s="3">
        <v>332</v>
      </c>
    </row>
    <row r="16" spans="1:4" x14ac:dyDescent="0.35">
      <c r="A16" s="15" t="s">
        <v>32</v>
      </c>
      <c r="B16" s="17">
        <v>3</v>
      </c>
      <c r="C16" s="17">
        <v>5</v>
      </c>
      <c r="D16" s="3">
        <v>2025</v>
      </c>
    </row>
    <row r="17" spans="1:4" x14ac:dyDescent="0.35">
      <c r="A17" s="15" t="s">
        <v>100</v>
      </c>
      <c r="B17" s="17">
        <v>5</v>
      </c>
      <c r="C17" s="17">
        <v>3</v>
      </c>
      <c r="D17" s="3">
        <v>509</v>
      </c>
    </row>
    <row r="18" spans="1:4" x14ac:dyDescent="0.35">
      <c r="A18" s="15" t="s">
        <v>20</v>
      </c>
      <c r="B18" s="17">
        <v>5</v>
      </c>
      <c r="C18" s="17">
        <v>4.8</v>
      </c>
      <c r="D18" s="3">
        <v>1274</v>
      </c>
    </row>
    <row r="19" spans="1:4" x14ac:dyDescent="0.35">
      <c r="A19" s="15" t="s">
        <v>95</v>
      </c>
      <c r="B19" s="17">
        <v>5</v>
      </c>
      <c r="C19" s="17">
        <v>3</v>
      </c>
      <c r="D19" s="3">
        <v>3750</v>
      </c>
    </row>
    <row r="20" spans="1:4" x14ac:dyDescent="0.35">
      <c r="A20" s="15" t="s">
        <v>14</v>
      </c>
      <c r="B20" s="17">
        <v>5</v>
      </c>
      <c r="C20" s="17">
        <v>4.8</v>
      </c>
      <c r="D20" s="3">
        <v>1740</v>
      </c>
    </row>
    <row r="21" spans="1:4" x14ac:dyDescent="0.35">
      <c r="A21" s="15" t="s">
        <v>33</v>
      </c>
      <c r="B21" s="17">
        <v>5</v>
      </c>
      <c r="C21" s="17">
        <v>4.5999999999999996</v>
      </c>
      <c r="D21" s="3">
        <v>2999</v>
      </c>
    </row>
    <row r="22" spans="1:4" x14ac:dyDescent="0.35">
      <c r="A22" s="15" t="s">
        <v>98</v>
      </c>
      <c r="B22" s="17">
        <v>5</v>
      </c>
      <c r="C22" s="17">
        <v>3</v>
      </c>
      <c r="D22" s="3">
        <v>2300</v>
      </c>
    </row>
    <row r="23" spans="1:4" x14ac:dyDescent="0.35">
      <c r="A23" s="15" t="s">
        <v>21</v>
      </c>
      <c r="B23" s="17">
        <v>5</v>
      </c>
      <c r="C23" s="17">
        <v>3.8</v>
      </c>
      <c r="D23" s="3">
        <v>1600</v>
      </c>
    </row>
    <row r="24" spans="1:4" x14ac:dyDescent="0.35">
      <c r="A24" s="15" t="s">
        <v>39</v>
      </c>
      <c r="B24" s="17">
        <v>6</v>
      </c>
      <c r="C24" s="17">
        <v>4</v>
      </c>
      <c r="D24" s="3">
        <v>880</v>
      </c>
    </row>
    <row r="25" spans="1:4" x14ac:dyDescent="0.35">
      <c r="A25" s="15" t="s">
        <v>99</v>
      </c>
      <c r="B25" s="17">
        <v>6</v>
      </c>
      <c r="C25" s="17">
        <v>2.2999999999999998</v>
      </c>
      <c r="D25" s="3">
        <v>345</v>
      </c>
    </row>
    <row r="26" spans="1:4" x14ac:dyDescent="0.35">
      <c r="A26" s="15" t="s">
        <v>26</v>
      </c>
      <c r="B26" s="17">
        <v>6</v>
      </c>
      <c r="C26" s="17">
        <v>4.5</v>
      </c>
      <c r="D26" s="3">
        <v>501</v>
      </c>
    </row>
    <row r="27" spans="1:4" x14ac:dyDescent="0.35">
      <c r="A27" s="15" t="s">
        <v>79</v>
      </c>
      <c r="B27" s="17">
        <v>6</v>
      </c>
      <c r="C27" s="17">
        <v>2.5</v>
      </c>
      <c r="D27" s="3">
        <v>2170</v>
      </c>
    </row>
    <row r="28" spans="1:4" x14ac:dyDescent="0.35">
      <c r="A28" s="15" t="s">
        <v>101</v>
      </c>
      <c r="B28" s="17">
        <v>6</v>
      </c>
      <c r="C28" s="17">
        <v>2.2000000000000002</v>
      </c>
      <c r="D28" s="3">
        <v>968</v>
      </c>
    </row>
    <row r="29" spans="1:4" x14ac:dyDescent="0.35">
      <c r="A29" s="15" t="s">
        <v>91</v>
      </c>
      <c r="B29" s="17">
        <v>6</v>
      </c>
      <c r="C29" s="17">
        <v>2.2000000000000002</v>
      </c>
      <c r="D29" s="3">
        <v>990</v>
      </c>
    </row>
    <row r="30" spans="1:4" x14ac:dyDescent="0.35">
      <c r="A30" s="15" t="s">
        <v>102</v>
      </c>
      <c r="B30" s="17">
        <v>7</v>
      </c>
      <c r="C30" s="17">
        <v>2.1</v>
      </c>
      <c r="D30" s="3">
        <v>1570</v>
      </c>
    </row>
    <row r="31" spans="1:4" x14ac:dyDescent="0.35">
      <c r="A31" s="15" t="s">
        <v>42</v>
      </c>
      <c r="B31" s="17">
        <v>7</v>
      </c>
      <c r="C31" s="17">
        <v>4.3</v>
      </c>
      <c r="D31" s="3">
        <v>2048</v>
      </c>
    </row>
    <row r="32" spans="1:4" x14ac:dyDescent="0.35">
      <c r="A32" s="15" t="s">
        <v>12</v>
      </c>
      <c r="B32" s="17">
        <v>7</v>
      </c>
      <c r="C32" s="17">
        <v>4.7</v>
      </c>
      <c r="D32" s="3">
        <v>1580</v>
      </c>
    </row>
    <row r="33" spans="1:4" x14ac:dyDescent="0.35">
      <c r="A33" s="15" t="s">
        <v>93</v>
      </c>
      <c r="B33" s="17">
        <v>7</v>
      </c>
      <c r="C33" s="17">
        <v>2.2999999999999998</v>
      </c>
      <c r="D33" s="3">
        <v>1000</v>
      </c>
    </row>
    <row r="34" spans="1:4" x14ac:dyDescent="0.35">
      <c r="A34" s="15" t="s">
        <v>51</v>
      </c>
      <c r="B34" s="17">
        <v>9</v>
      </c>
      <c r="C34" s="17">
        <v>4.3</v>
      </c>
      <c r="D34" s="3">
        <v>1820</v>
      </c>
    </row>
    <row r="35" spans="1:4" x14ac:dyDescent="0.35">
      <c r="A35" s="15" t="s">
        <v>49</v>
      </c>
      <c r="B35" s="17">
        <v>9</v>
      </c>
      <c r="C35" s="17">
        <v>4.3</v>
      </c>
      <c r="D35" s="3">
        <v>185</v>
      </c>
    </row>
    <row r="36" spans="1:4" x14ac:dyDescent="0.35">
      <c r="A36" s="15" t="s">
        <v>27</v>
      </c>
      <c r="B36" s="17">
        <v>9</v>
      </c>
      <c r="C36" s="17">
        <v>4.2</v>
      </c>
      <c r="D36" s="3">
        <v>1680</v>
      </c>
    </row>
    <row r="37" spans="1:4" x14ac:dyDescent="0.35">
      <c r="A37" s="15" t="s">
        <v>81</v>
      </c>
      <c r="B37" s="17">
        <v>10</v>
      </c>
      <c r="C37" s="17">
        <v>3</v>
      </c>
      <c r="D37" s="3">
        <v>458</v>
      </c>
    </row>
    <row r="38" spans="1:4" x14ac:dyDescent="0.35">
      <c r="A38" s="15" t="s">
        <v>23</v>
      </c>
      <c r="B38" s="17">
        <v>12</v>
      </c>
      <c r="C38" s="17">
        <v>4.0999999999999996</v>
      </c>
      <c r="D38" s="3">
        <v>799</v>
      </c>
    </row>
    <row r="39" spans="1:4" x14ac:dyDescent="0.35">
      <c r="A39" s="15" t="s">
        <v>45</v>
      </c>
      <c r="B39" s="17">
        <v>12</v>
      </c>
      <c r="C39" s="17">
        <v>3.8</v>
      </c>
      <c r="D39" s="3">
        <v>2880</v>
      </c>
    </row>
    <row r="40" spans="1:4" x14ac:dyDescent="0.35">
      <c r="A40" s="15" t="s">
        <v>50</v>
      </c>
      <c r="B40" s="17">
        <v>12</v>
      </c>
      <c r="C40" s="17">
        <v>4.7</v>
      </c>
      <c r="D40" s="3">
        <v>980</v>
      </c>
    </row>
    <row r="41" spans="1:4" x14ac:dyDescent="0.35">
      <c r="A41" s="15" t="s">
        <v>25</v>
      </c>
      <c r="B41" s="17">
        <v>12</v>
      </c>
      <c r="C41" s="17">
        <v>4.8</v>
      </c>
      <c r="D41" s="3">
        <v>552</v>
      </c>
    </row>
    <row r="42" spans="1:4" x14ac:dyDescent="0.35">
      <c r="A42" s="15" t="s">
        <v>35</v>
      </c>
      <c r="B42" s="17">
        <v>13</v>
      </c>
      <c r="C42" s="17">
        <v>3.3</v>
      </c>
      <c r="D42" s="3">
        <v>38</v>
      </c>
    </row>
    <row r="43" spans="1:4" x14ac:dyDescent="0.35">
      <c r="A43" s="15" t="s">
        <v>46</v>
      </c>
      <c r="B43" s="17">
        <v>13</v>
      </c>
      <c r="C43" s="17">
        <v>3.8</v>
      </c>
      <c r="D43" s="3">
        <v>1350</v>
      </c>
    </row>
    <row r="44" spans="1:4" x14ac:dyDescent="0.35">
      <c r="A44" s="15" t="s">
        <v>83</v>
      </c>
      <c r="B44" s="17">
        <v>13</v>
      </c>
      <c r="C44" s="17">
        <v>2.1</v>
      </c>
      <c r="D44" s="3">
        <v>2115</v>
      </c>
    </row>
    <row r="45" spans="1:4" x14ac:dyDescent="0.35">
      <c r="A45" s="15" t="s">
        <v>40</v>
      </c>
      <c r="B45" s="17">
        <v>14</v>
      </c>
      <c r="C45" s="17">
        <v>4.4000000000000004</v>
      </c>
      <c r="D45" s="3">
        <v>1650</v>
      </c>
    </row>
    <row r="46" spans="1:4" x14ac:dyDescent="0.35">
      <c r="A46" s="15" t="s">
        <v>8</v>
      </c>
      <c r="B46" s="17">
        <v>14</v>
      </c>
      <c r="C46" s="17">
        <v>4.0999999999999996</v>
      </c>
      <c r="D46" s="3">
        <v>527</v>
      </c>
    </row>
    <row r="47" spans="1:4" x14ac:dyDescent="0.35">
      <c r="A47" s="15" t="s">
        <v>16</v>
      </c>
      <c r="B47" s="17">
        <v>15</v>
      </c>
      <c r="C47" s="17">
        <v>4</v>
      </c>
      <c r="D47" s="3">
        <v>2999</v>
      </c>
    </row>
    <row r="48" spans="1:4" x14ac:dyDescent="0.35">
      <c r="A48" s="15" t="s">
        <v>87</v>
      </c>
      <c r="B48" s="17">
        <v>15</v>
      </c>
      <c r="C48" s="17">
        <v>2.7</v>
      </c>
      <c r="D48" s="3">
        <v>325</v>
      </c>
    </row>
    <row r="49" spans="1:4" x14ac:dyDescent="0.35">
      <c r="A49" s="15" t="s">
        <v>89</v>
      </c>
      <c r="B49" s="17">
        <v>16</v>
      </c>
      <c r="C49" s="17">
        <v>2.9</v>
      </c>
      <c r="D49" s="3">
        <v>1220</v>
      </c>
    </row>
    <row r="50" spans="1:4" x14ac:dyDescent="0.35">
      <c r="A50" s="15" t="s">
        <v>96</v>
      </c>
      <c r="B50" s="17">
        <v>17</v>
      </c>
      <c r="C50" s="17">
        <v>2.6</v>
      </c>
      <c r="D50" s="3">
        <v>382</v>
      </c>
    </row>
    <row r="51" spans="1:4" x14ac:dyDescent="0.35">
      <c r="A51" s="15" t="s">
        <v>52</v>
      </c>
      <c r="B51" s="17">
        <v>20</v>
      </c>
      <c r="C51" s="17">
        <v>4.7</v>
      </c>
      <c r="D51" s="3">
        <v>1940</v>
      </c>
    </row>
    <row r="52" spans="1:4" x14ac:dyDescent="0.35">
      <c r="A52" s="15" t="s">
        <v>47</v>
      </c>
      <c r="B52" s="17">
        <v>20</v>
      </c>
      <c r="C52" s="17">
        <v>4.0999999999999996</v>
      </c>
      <c r="D52" s="3">
        <v>1758</v>
      </c>
    </row>
    <row r="53" spans="1:4" x14ac:dyDescent="0.35">
      <c r="A53" s="15" t="s">
        <v>10</v>
      </c>
      <c r="B53" s="17">
        <v>24</v>
      </c>
      <c r="C53" s="17">
        <v>4.5999999999999996</v>
      </c>
      <c r="D53" s="3">
        <v>2199</v>
      </c>
    </row>
    <row r="54" spans="1:4" x14ac:dyDescent="0.35">
      <c r="A54" s="15" t="s">
        <v>53</v>
      </c>
      <c r="B54" s="17">
        <v>32</v>
      </c>
      <c r="C54" s="17">
        <v>4.5</v>
      </c>
      <c r="D54" s="3">
        <v>1980</v>
      </c>
    </row>
    <row r="55" spans="1:4" x14ac:dyDescent="0.35">
      <c r="A55" s="15" t="s">
        <v>56</v>
      </c>
      <c r="B55" s="17">
        <v>36</v>
      </c>
      <c r="C55" s="17">
        <v>4.3</v>
      </c>
      <c r="D55" s="3">
        <v>389</v>
      </c>
    </row>
    <row r="56" spans="1:4" x14ac:dyDescent="0.35">
      <c r="A56" s="15" t="s">
        <v>24</v>
      </c>
      <c r="B56" s="17">
        <v>39</v>
      </c>
      <c r="C56" s="17">
        <v>4.7</v>
      </c>
      <c r="D56" s="3">
        <v>990</v>
      </c>
    </row>
    <row r="57" spans="1:4" x14ac:dyDescent="0.35">
      <c r="A57" s="15" t="s">
        <v>34</v>
      </c>
      <c r="B57" s="17">
        <v>44</v>
      </c>
      <c r="C57" s="17">
        <v>4.5999999999999996</v>
      </c>
      <c r="D57" s="3">
        <v>998</v>
      </c>
    </row>
    <row r="58" spans="1:4" x14ac:dyDescent="0.35">
      <c r="A58" s="15" t="s">
        <v>44</v>
      </c>
      <c r="B58" s="17">
        <v>49</v>
      </c>
      <c r="C58" s="17">
        <v>4.5999999999999996</v>
      </c>
      <c r="D58" s="3">
        <v>420</v>
      </c>
    </row>
    <row r="59" spans="1:4" x14ac:dyDescent="0.35">
      <c r="A59" s="15" t="s">
        <v>18</v>
      </c>
      <c r="B59" s="17">
        <v>55</v>
      </c>
      <c r="C59" s="17">
        <v>4.5999999999999996</v>
      </c>
      <c r="D59" s="3">
        <v>2319</v>
      </c>
    </row>
    <row r="60" spans="1:4" x14ac:dyDescent="0.35">
      <c r="A60" s="15" t="s">
        <v>85</v>
      </c>
      <c r="B60" s="17">
        <v>69</v>
      </c>
      <c r="C60" s="17">
        <v>2.8</v>
      </c>
      <c r="D60" s="3">
        <v>445</v>
      </c>
    </row>
    <row r="61" spans="1:4" x14ac:dyDescent="0.35">
      <c r="A61" s="15" t="s">
        <v>105</v>
      </c>
      <c r="B61" s="17" t="e">
        <v>#DIV/0!</v>
      </c>
      <c r="C61" s="17" t="e">
        <v>#DIV/0!</v>
      </c>
      <c r="D61" s="3">
        <v>1732</v>
      </c>
    </row>
    <row r="62" spans="1:4" x14ac:dyDescent="0.35">
      <c r="A62" s="15" t="s">
        <v>73</v>
      </c>
      <c r="B62" s="17" t="e">
        <v>#DIV/0!</v>
      </c>
      <c r="C62" s="17" t="e">
        <v>#DIV/0!</v>
      </c>
      <c r="D62" s="3">
        <v>1459</v>
      </c>
    </row>
    <row r="63" spans="1:4" x14ac:dyDescent="0.35">
      <c r="A63" s="15" t="s">
        <v>110</v>
      </c>
      <c r="B63" s="17" t="e">
        <v>#DIV/0!</v>
      </c>
      <c r="C63" s="17" t="e">
        <v>#DIV/0!</v>
      </c>
      <c r="D63" s="3">
        <v>1666</v>
      </c>
    </row>
    <row r="64" spans="1:4" x14ac:dyDescent="0.35">
      <c r="A64" s="15" t="s">
        <v>67</v>
      </c>
      <c r="B64" s="17" t="e">
        <v>#DIV/0!</v>
      </c>
      <c r="C64" s="17" t="e">
        <v>#DIV/0!</v>
      </c>
      <c r="D64" s="3">
        <v>671</v>
      </c>
    </row>
    <row r="65" spans="1:4" x14ac:dyDescent="0.35">
      <c r="A65" s="15" t="s">
        <v>78</v>
      </c>
      <c r="B65" s="17" t="e">
        <v>#DIV/0!</v>
      </c>
      <c r="C65" s="17" t="e">
        <v>#DIV/0!</v>
      </c>
      <c r="D65" s="3">
        <v>2799</v>
      </c>
    </row>
    <row r="66" spans="1:4" x14ac:dyDescent="0.35">
      <c r="A66" s="15" t="s">
        <v>112</v>
      </c>
      <c r="B66" s="17" t="e">
        <v>#DIV/0!</v>
      </c>
      <c r="C66" s="17" t="e">
        <v>#DIV/0!</v>
      </c>
      <c r="D66" s="3">
        <v>1466</v>
      </c>
    </row>
    <row r="67" spans="1:4" x14ac:dyDescent="0.35">
      <c r="A67" s="15" t="s">
        <v>120</v>
      </c>
      <c r="B67" s="17" t="e">
        <v>#DIV/0!</v>
      </c>
      <c r="C67" s="17" t="e">
        <v>#DIV/0!</v>
      </c>
      <c r="D67" s="3">
        <v>899</v>
      </c>
    </row>
    <row r="68" spans="1:4" x14ac:dyDescent="0.35">
      <c r="A68" s="15" t="s">
        <v>114</v>
      </c>
      <c r="B68" s="17" t="e">
        <v>#DIV/0!</v>
      </c>
      <c r="C68" s="17" t="e">
        <v>#DIV/0!</v>
      </c>
      <c r="D68" s="3">
        <v>799</v>
      </c>
    </row>
    <row r="69" spans="1:4" x14ac:dyDescent="0.35">
      <c r="A69" s="15" t="s">
        <v>106</v>
      </c>
      <c r="B69" s="17" t="e">
        <v>#DIV/0!</v>
      </c>
      <c r="C69" s="17" t="e">
        <v>#DIV/0!</v>
      </c>
      <c r="D69" s="3">
        <v>230</v>
      </c>
    </row>
    <row r="70" spans="1:4" x14ac:dyDescent="0.35">
      <c r="A70" s="15" t="s">
        <v>113</v>
      </c>
      <c r="B70" s="17" t="e">
        <v>#DIV/0!</v>
      </c>
      <c r="C70" s="17" t="e">
        <v>#DIV/0!</v>
      </c>
      <c r="D70" s="3">
        <v>274</v>
      </c>
    </row>
    <row r="71" spans="1:4" x14ac:dyDescent="0.35">
      <c r="A71" s="15" t="s">
        <v>127</v>
      </c>
      <c r="B71" s="17" t="e">
        <v>#DIV/0!</v>
      </c>
      <c r="C71" s="17" t="e">
        <v>#DIV/0!</v>
      </c>
      <c r="D71" s="3">
        <v>1080</v>
      </c>
    </row>
    <row r="72" spans="1:4" x14ac:dyDescent="0.35">
      <c r="A72" s="15" t="s">
        <v>71</v>
      </c>
      <c r="B72" s="17" t="e">
        <v>#DIV/0!</v>
      </c>
      <c r="C72" s="17" t="e">
        <v>#DIV/0!</v>
      </c>
      <c r="D72" s="3">
        <v>1660</v>
      </c>
    </row>
    <row r="73" spans="1:4" x14ac:dyDescent="0.35">
      <c r="A73" s="15" t="s">
        <v>130</v>
      </c>
      <c r="B73" s="17" t="e">
        <v>#DIV/0!</v>
      </c>
      <c r="C73" s="17" t="e">
        <v>#DIV/0!</v>
      </c>
      <c r="D73" s="3">
        <v>1875</v>
      </c>
    </row>
    <row r="74" spans="1:4" x14ac:dyDescent="0.35">
      <c r="A74" s="15" t="s">
        <v>72</v>
      </c>
      <c r="B74" s="17" t="e">
        <v>#DIV/0!</v>
      </c>
      <c r="C74" s="17" t="e">
        <v>#DIV/0!</v>
      </c>
      <c r="D74" s="3">
        <v>299</v>
      </c>
    </row>
    <row r="75" spans="1:4" x14ac:dyDescent="0.35">
      <c r="A75" s="15" t="s">
        <v>124</v>
      </c>
      <c r="B75" s="17" t="e">
        <v>#DIV/0!</v>
      </c>
      <c r="C75" s="17" t="e">
        <v>#DIV/0!</v>
      </c>
      <c r="D75" s="3">
        <v>248</v>
      </c>
    </row>
    <row r="76" spans="1:4" x14ac:dyDescent="0.35">
      <c r="A76" s="15" t="s">
        <v>133</v>
      </c>
      <c r="B76" s="17" t="e">
        <v>#DIV/0!</v>
      </c>
      <c r="C76" s="17" t="e">
        <v>#DIV/0!</v>
      </c>
      <c r="D76" s="3">
        <v>1190</v>
      </c>
    </row>
    <row r="77" spans="1:4" x14ac:dyDescent="0.35">
      <c r="A77" s="15" t="s">
        <v>121</v>
      </c>
      <c r="B77" s="17" t="e">
        <v>#DIV/0!</v>
      </c>
      <c r="C77" s="17" t="e">
        <v>#DIV/0!</v>
      </c>
      <c r="D77" s="3">
        <v>1200</v>
      </c>
    </row>
    <row r="78" spans="1:4" x14ac:dyDescent="0.35">
      <c r="A78" s="15" t="s">
        <v>65</v>
      </c>
      <c r="B78" s="17" t="e">
        <v>#DIV/0!</v>
      </c>
      <c r="C78" s="17" t="e">
        <v>#DIV/0!</v>
      </c>
      <c r="D78" s="3">
        <v>999</v>
      </c>
    </row>
    <row r="79" spans="1:4" x14ac:dyDescent="0.35">
      <c r="A79" s="15" t="s">
        <v>132</v>
      </c>
      <c r="B79" s="17" t="e">
        <v>#DIV/0!</v>
      </c>
      <c r="C79" s="17" t="e">
        <v>#DIV/0!</v>
      </c>
      <c r="D79" s="3">
        <v>1150</v>
      </c>
    </row>
    <row r="80" spans="1:4" x14ac:dyDescent="0.35">
      <c r="A80" s="15" t="s">
        <v>123</v>
      </c>
      <c r="B80" s="17" t="e">
        <v>#DIV/0!</v>
      </c>
      <c r="C80" s="17" t="e">
        <v>#DIV/0!</v>
      </c>
      <c r="D80" s="3">
        <v>1462</v>
      </c>
    </row>
    <row r="81" spans="1:4" x14ac:dyDescent="0.35">
      <c r="A81" s="15" t="s">
        <v>61</v>
      </c>
      <c r="B81" s="17" t="e">
        <v>#DIV/0!</v>
      </c>
      <c r="C81" s="17" t="e">
        <v>#DIV/0!</v>
      </c>
      <c r="D81" s="3">
        <v>475</v>
      </c>
    </row>
    <row r="82" spans="1:4" x14ac:dyDescent="0.35">
      <c r="A82" s="15" t="s">
        <v>76</v>
      </c>
      <c r="B82" s="17" t="e">
        <v>#DIV/0!</v>
      </c>
      <c r="C82" s="17" t="e">
        <v>#DIV/0!</v>
      </c>
      <c r="D82" s="3">
        <v>699</v>
      </c>
    </row>
    <row r="83" spans="1:4" x14ac:dyDescent="0.35">
      <c r="A83" s="15" t="s">
        <v>125</v>
      </c>
      <c r="B83" s="17" t="e">
        <v>#DIV/0!</v>
      </c>
      <c r="C83" s="17" t="e">
        <v>#DIV/0!</v>
      </c>
      <c r="D83" s="3">
        <v>3546</v>
      </c>
    </row>
    <row r="84" spans="1:4" x14ac:dyDescent="0.35">
      <c r="A84" s="15" t="s">
        <v>118</v>
      </c>
      <c r="B84" s="17" t="e">
        <v>#DIV/0!</v>
      </c>
      <c r="C84" s="17" t="e">
        <v>#DIV/0!</v>
      </c>
      <c r="D84" s="3">
        <v>1300</v>
      </c>
    </row>
    <row r="85" spans="1:4" x14ac:dyDescent="0.35">
      <c r="A85" s="15" t="s">
        <v>70</v>
      </c>
      <c r="B85" s="17" t="e">
        <v>#DIV/0!</v>
      </c>
      <c r="C85" s="17" t="e">
        <v>#DIV/0!</v>
      </c>
      <c r="D85" s="3">
        <v>299</v>
      </c>
    </row>
    <row r="86" spans="1:4" x14ac:dyDescent="0.35">
      <c r="A86" s="15" t="s">
        <v>37</v>
      </c>
      <c r="B86" s="17" t="e">
        <v>#DIV/0!</v>
      </c>
      <c r="C86" s="17" t="e">
        <v>#DIV/0!</v>
      </c>
      <c r="D86" s="3">
        <v>1860</v>
      </c>
    </row>
    <row r="87" spans="1:4" x14ac:dyDescent="0.35">
      <c r="A87" s="15" t="s">
        <v>48</v>
      </c>
      <c r="B87" s="17" t="e">
        <v>#DIV/0!</v>
      </c>
      <c r="C87" s="17" t="e">
        <v>#DIV/0!</v>
      </c>
      <c r="D87" s="3">
        <v>2200</v>
      </c>
    </row>
    <row r="88" spans="1:4" x14ac:dyDescent="0.35">
      <c r="A88" s="15" t="s">
        <v>119</v>
      </c>
      <c r="B88" s="17" t="e">
        <v>#DIV/0!</v>
      </c>
      <c r="C88" s="17" t="e">
        <v>#DIV/0!</v>
      </c>
      <c r="D88" s="3">
        <v>105</v>
      </c>
    </row>
    <row r="89" spans="1:4" x14ac:dyDescent="0.35">
      <c r="A89" s="15" t="s">
        <v>136</v>
      </c>
      <c r="B89" s="17" t="e">
        <v>#DIV/0!</v>
      </c>
      <c r="C89" s="17" t="e">
        <v>#DIV/0!</v>
      </c>
      <c r="D89" s="3">
        <v>199</v>
      </c>
    </row>
    <row r="90" spans="1:4" x14ac:dyDescent="0.35">
      <c r="A90" s="15" t="s">
        <v>64</v>
      </c>
      <c r="B90" s="17" t="e">
        <v>#DIV/0!</v>
      </c>
      <c r="C90" s="17" t="e">
        <v>#DIV/0!</v>
      </c>
      <c r="D90" s="3">
        <v>2132</v>
      </c>
    </row>
    <row r="91" spans="1:4" x14ac:dyDescent="0.35">
      <c r="A91" s="15" t="s">
        <v>104</v>
      </c>
      <c r="B91" s="17" t="e">
        <v>#DIV/0!</v>
      </c>
      <c r="C91" s="17" t="e">
        <v>#DIV/0!</v>
      </c>
      <c r="D91" s="3">
        <v>690</v>
      </c>
    </row>
    <row r="92" spans="1:4" x14ac:dyDescent="0.35">
      <c r="A92" s="15" t="s">
        <v>134</v>
      </c>
      <c r="B92" s="17" t="e">
        <v>#DIV/0!</v>
      </c>
      <c r="C92" s="17" t="e">
        <v>#DIV/0!</v>
      </c>
      <c r="D92" s="3">
        <v>1658</v>
      </c>
    </row>
    <row r="93" spans="1:4" x14ac:dyDescent="0.35">
      <c r="A93" s="15" t="s">
        <v>77</v>
      </c>
      <c r="B93" s="17" t="e">
        <v>#DIV/0!</v>
      </c>
      <c r="C93" s="17" t="e">
        <v>#DIV/0!</v>
      </c>
      <c r="D93" s="3">
        <v>728</v>
      </c>
    </row>
    <row r="94" spans="1:4" x14ac:dyDescent="0.35">
      <c r="A94" s="15" t="s">
        <v>75</v>
      </c>
      <c r="B94" s="17" t="e">
        <v>#DIV/0!</v>
      </c>
      <c r="C94" s="17" t="e">
        <v>#DIV/0!</v>
      </c>
      <c r="D94" s="3">
        <v>449</v>
      </c>
    </row>
    <row r="95" spans="1:4" x14ac:dyDescent="0.35">
      <c r="A95" s="15" t="s">
        <v>126</v>
      </c>
      <c r="B95" s="17" t="e">
        <v>#DIV/0!</v>
      </c>
      <c r="C95" s="17" t="e">
        <v>#DIV/0!</v>
      </c>
      <c r="D95" s="3">
        <v>525</v>
      </c>
    </row>
    <row r="96" spans="1:4" x14ac:dyDescent="0.35">
      <c r="A96" s="15" t="s">
        <v>135</v>
      </c>
      <c r="B96" s="17" t="e">
        <v>#DIV/0!</v>
      </c>
      <c r="C96" s="17" t="e">
        <v>#DIV/0!</v>
      </c>
      <c r="D96" s="3">
        <v>1768</v>
      </c>
    </row>
    <row r="97" spans="1:4" x14ac:dyDescent="0.35">
      <c r="A97" s="15" t="s">
        <v>139</v>
      </c>
      <c r="B97" s="17" t="e">
        <v>#DIV/0!</v>
      </c>
      <c r="C97" s="17" t="e">
        <v>#DIV/0!</v>
      </c>
      <c r="D97" s="3">
        <v>169</v>
      </c>
    </row>
    <row r="98" spans="1:4" x14ac:dyDescent="0.35">
      <c r="A98" s="15" t="s">
        <v>69</v>
      </c>
      <c r="B98" s="17" t="e">
        <v>#DIV/0!</v>
      </c>
      <c r="C98" s="17" t="e">
        <v>#DIV/0!</v>
      </c>
      <c r="D98" s="3">
        <v>187.5</v>
      </c>
    </row>
    <row r="99" spans="1:4" x14ac:dyDescent="0.35">
      <c r="A99" s="15" t="s">
        <v>116</v>
      </c>
      <c r="B99" s="17" t="e">
        <v>#DIV/0!</v>
      </c>
      <c r="C99" s="17" t="e">
        <v>#DIV/0!</v>
      </c>
      <c r="D99" s="3">
        <v>630</v>
      </c>
    </row>
    <row r="100" spans="1:4" x14ac:dyDescent="0.35">
      <c r="A100" s="15" t="s">
        <v>117</v>
      </c>
      <c r="B100" s="17" t="e">
        <v>#DIV/0!</v>
      </c>
      <c r="C100" s="17" t="e">
        <v>#DIV/0!</v>
      </c>
      <c r="D100" s="3">
        <v>850</v>
      </c>
    </row>
    <row r="101" spans="1:4" x14ac:dyDescent="0.35">
      <c r="A101" s="15" t="s">
        <v>66</v>
      </c>
      <c r="B101" s="17" t="e">
        <v>#DIV/0!</v>
      </c>
      <c r="C101" s="17" t="e">
        <v>#DIV/0!</v>
      </c>
      <c r="D101" s="3">
        <v>1190</v>
      </c>
    </row>
    <row r="102" spans="1:4" x14ac:dyDescent="0.35">
      <c r="A102" s="15" t="s">
        <v>122</v>
      </c>
      <c r="B102" s="17" t="e">
        <v>#DIV/0!</v>
      </c>
      <c r="C102" s="17" t="e">
        <v>#DIV/0!</v>
      </c>
      <c r="D102" s="3">
        <v>1526</v>
      </c>
    </row>
    <row r="103" spans="1:4" x14ac:dyDescent="0.35">
      <c r="A103" s="15" t="s">
        <v>60</v>
      </c>
      <c r="B103" s="17" t="e">
        <v>#DIV/0!</v>
      </c>
      <c r="C103" s="17" t="e">
        <v>#DIV/0!</v>
      </c>
      <c r="D103" s="3">
        <v>2750</v>
      </c>
    </row>
    <row r="104" spans="1:4" x14ac:dyDescent="0.35">
      <c r="A104" s="15" t="s">
        <v>68</v>
      </c>
      <c r="B104" s="17" t="e">
        <v>#DIV/0!</v>
      </c>
      <c r="C104" s="17" t="e">
        <v>#DIV/0!</v>
      </c>
      <c r="D104" s="3">
        <v>1200</v>
      </c>
    </row>
    <row r="105" spans="1:4" x14ac:dyDescent="0.35">
      <c r="A105" s="15" t="s">
        <v>62</v>
      </c>
      <c r="B105" s="17" t="e">
        <v>#DIV/0!</v>
      </c>
      <c r="C105" s="17" t="e">
        <v>#DIV/0!</v>
      </c>
      <c r="D105" s="3">
        <v>238</v>
      </c>
    </row>
    <row r="106" spans="1:4" x14ac:dyDescent="0.35">
      <c r="A106" s="15" t="s">
        <v>115</v>
      </c>
      <c r="B106" s="17" t="e">
        <v>#DIV/0!</v>
      </c>
      <c r="C106" s="17" t="e">
        <v>#DIV/0!</v>
      </c>
      <c r="D106" s="3">
        <v>1468</v>
      </c>
    </row>
    <row r="107" spans="1:4" x14ac:dyDescent="0.35">
      <c r="A107" s="15" t="s">
        <v>129</v>
      </c>
      <c r="B107" s="17" t="e">
        <v>#DIV/0!</v>
      </c>
      <c r="C107" s="17" t="e">
        <v>#DIV/0!</v>
      </c>
      <c r="D107" s="3">
        <v>1420</v>
      </c>
    </row>
    <row r="108" spans="1:4" x14ac:dyDescent="0.35">
      <c r="A108" s="15" t="s">
        <v>74</v>
      </c>
      <c r="B108" s="17" t="e">
        <v>#DIV/0!</v>
      </c>
      <c r="C108" s="17" t="e">
        <v>#DIV/0!</v>
      </c>
      <c r="D108" s="3">
        <v>799</v>
      </c>
    </row>
    <row r="109" spans="1:4" x14ac:dyDescent="0.35">
      <c r="A109" s="15" t="s">
        <v>109</v>
      </c>
      <c r="B109" s="17" t="e">
        <v>#DIV/0!</v>
      </c>
      <c r="C109" s="17" t="e">
        <v>#DIV/0!</v>
      </c>
      <c r="D109" s="3">
        <v>1460</v>
      </c>
    </row>
    <row r="110" spans="1:4" x14ac:dyDescent="0.35">
      <c r="A110" s="15" t="s">
        <v>103</v>
      </c>
      <c r="B110" s="17" t="e">
        <v>#DIV/0!</v>
      </c>
      <c r="C110" s="17" t="e">
        <v>#DIV/0!</v>
      </c>
      <c r="D110" s="3">
        <v>790</v>
      </c>
    </row>
    <row r="111" spans="1:4" x14ac:dyDescent="0.35">
      <c r="A111" s="15" t="s">
        <v>63</v>
      </c>
      <c r="B111" s="17" t="e">
        <v>#DIV/0!</v>
      </c>
      <c r="C111" s="17" t="e">
        <v>#DIV/0!</v>
      </c>
      <c r="D111" s="3">
        <v>610</v>
      </c>
    </row>
    <row r="112" spans="1:4" x14ac:dyDescent="0.35">
      <c r="A112" s="15" t="s">
        <v>131</v>
      </c>
      <c r="B112" s="17" t="e">
        <v>#DIV/0!</v>
      </c>
      <c r="C112" s="17" t="e">
        <v>#DIV/0!</v>
      </c>
      <c r="D112" s="3">
        <v>198</v>
      </c>
    </row>
    <row r="113" spans="1:4" x14ac:dyDescent="0.35">
      <c r="A113" s="15" t="s">
        <v>158</v>
      </c>
      <c r="B113" s="17">
        <v>12.684210526315789</v>
      </c>
      <c r="C113" s="17">
        <v>3.8894736842105266</v>
      </c>
      <c r="D113" s="3">
        <v>1186.8928571428571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2BBD6-4A71-4858-B456-9CDB52154CF7}">
  <dimension ref="A3:C31"/>
  <sheetViews>
    <sheetView topLeftCell="A7" workbookViewId="0">
      <selection activeCell="B5" sqref="B5"/>
    </sheetView>
  </sheetViews>
  <sheetFormatPr defaultRowHeight="14.5" x14ac:dyDescent="0.35"/>
  <cols>
    <col min="1" max="1" width="69.54296875" bestFit="1" customWidth="1"/>
    <col min="2" max="2" width="15.26953125" bestFit="1" customWidth="1"/>
    <col min="3" max="4" width="11.81640625" bestFit="1" customWidth="1"/>
    <col min="5" max="5" width="8.90625" bestFit="1" customWidth="1"/>
    <col min="6" max="6" width="11.81640625" bestFit="1" customWidth="1"/>
  </cols>
  <sheetData>
    <row r="3" spans="1:3" x14ac:dyDescent="0.35">
      <c r="A3" s="14" t="s">
        <v>159</v>
      </c>
      <c r="B3" s="14" t="s">
        <v>170</v>
      </c>
    </row>
    <row r="4" spans="1:3" x14ac:dyDescent="0.35">
      <c r="A4" s="14" t="s">
        <v>154</v>
      </c>
      <c r="B4" t="s">
        <v>160</v>
      </c>
      <c r="C4" t="s">
        <v>158</v>
      </c>
    </row>
    <row r="5" spans="1:3" x14ac:dyDescent="0.35">
      <c r="A5" s="15" t="s">
        <v>56</v>
      </c>
      <c r="B5" s="17">
        <v>36</v>
      </c>
      <c r="C5" s="17">
        <v>36</v>
      </c>
    </row>
    <row r="6" spans="1:3" x14ac:dyDescent="0.35">
      <c r="A6" s="15" t="s">
        <v>53</v>
      </c>
      <c r="B6" s="17">
        <v>32</v>
      </c>
      <c r="C6" s="17">
        <v>32</v>
      </c>
    </row>
    <row r="7" spans="1:3" x14ac:dyDescent="0.35">
      <c r="A7" s="15" t="s">
        <v>47</v>
      </c>
      <c r="B7" s="17">
        <v>20</v>
      </c>
      <c r="C7" s="17">
        <v>20</v>
      </c>
    </row>
    <row r="8" spans="1:3" x14ac:dyDescent="0.35">
      <c r="A8" s="15" t="s">
        <v>16</v>
      </c>
      <c r="B8" s="17">
        <v>15</v>
      </c>
      <c r="C8" s="17">
        <v>15</v>
      </c>
    </row>
    <row r="9" spans="1:3" x14ac:dyDescent="0.35">
      <c r="A9" s="15" t="s">
        <v>8</v>
      </c>
      <c r="B9" s="17">
        <v>14</v>
      </c>
      <c r="C9" s="17">
        <v>14</v>
      </c>
    </row>
    <row r="10" spans="1:3" x14ac:dyDescent="0.35">
      <c r="A10" s="15" t="s">
        <v>40</v>
      </c>
      <c r="B10" s="17">
        <v>14</v>
      </c>
      <c r="C10" s="17">
        <v>14</v>
      </c>
    </row>
    <row r="11" spans="1:3" x14ac:dyDescent="0.35">
      <c r="A11" s="15" t="s">
        <v>46</v>
      </c>
      <c r="B11" s="17">
        <v>13</v>
      </c>
      <c r="C11" s="17">
        <v>13</v>
      </c>
    </row>
    <row r="12" spans="1:3" x14ac:dyDescent="0.35">
      <c r="A12" s="15" t="s">
        <v>35</v>
      </c>
      <c r="B12" s="17">
        <v>13</v>
      </c>
      <c r="C12" s="17">
        <v>13</v>
      </c>
    </row>
    <row r="13" spans="1:3" x14ac:dyDescent="0.35">
      <c r="A13" s="15" t="s">
        <v>45</v>
      </c>
      <c r="B13" s="17">
        <v>12</v>
      </c>
      <c r="C13" s="17">
        <v>12</v>
      </c>
    </row>
    <row r="14" spans="1:3" x14ac:dyDescent="0.35">
      <c r="A14" s="15" t="s">
        <v>23</v>
      </c>
      <c r="B14" s="17">
        <v>12</v>
      </c>
      <c r="C14" s="17">
        <v>12</v>
      </c>
    </row>
    <row r="15" spans="1:3" x14ac:dyDescent="0.35">
      <c r="A15" s="15" t="s">
        <v>81</v>
      </c>
      <c r="B15" s="17">
        <v>10</v>
      </c>
      <c r="C15" s="17">
        <v>10</v>
      </c>
    </row>
    <row r="16" spans="1:3" x14ac:dyDescent="0.35">
      <c r="A16" s="15" t="s">
        <v>27</v>
      </c>
      <c r="B16" s="17">
        <v>9</v>
      </c>
      <c r="C16" s="17">
        <v>9</v>
      </c>
    </row>
    <row r="17" spans="1:3" x14ac:dyDescent="0.35">
      <c r="A17" s="15" t="s">
        <v>49</v>
      </c>
      <c r="B17" s="17">
        <v>9</v>
      </c>
      <c r="C17" s="17">
        <v>9</v>
      </c>
    </row>
    <row r="18" spans="1:3" x14ac:dyDescent="0.35">
      <c r="A18" s="15" t="s">
        <v>51</v>
      </c>
      <c r="B18" s="17">
        <v>9</v>
      </c>
      <c r="C18" s="17">
        <v>9</v>
      </c>
    </row>
    <row r="19" spans="1:3" x14ac:dyDescent="0.35">
      <c r="A19" s="15" t="s">
        <v>42</v>
      </c>
      <c r="B19" s="17">
        <v>7</v>
      </c>
      <c r="C19" s="17">
        <v>7</v>
      </c>
    </row>
    <row r="20" spans="1:3" x14ac:dyDescent="0.35">
      <c r="A20" s="15" t="s">
        <v>39</v>
      </c>
      <c r="B20" s="17">
        <v>6</v>
      </c>
      <c r="C20" s="17">
        <v>6</v>
      </c>
    </row>
    <row r="21" spans="1:3" x14ac:dyDescent="0.35">
      <c r="A21" s="15" t="s">
        <v>26</v>
      </c>
      <c r="B21" s="17">
        <v>6</v>
      </c>
      <c r="C21" s="17">
        <v>6</v>
      </c>
    </row>
    <row r="22" spans="1:3" x14ac:dyDescent="0.35">
      <c r="A22" s="15" t="s">
        <v>21</v>
      </c>
      <c r="B22" s="17">
        <v>5</v>
      </c>
      <c r="C22" s="17">
        <v>5</v>
      </c>
    </row>
    <row r="23" spans="1:3" x14ac:dyDescent="0.35">
      <c r="A23" s="15" t="s">
        <v>100</v>
      </c>
      <c r="B23" s="17">
        <v>5</v>
      </c>
      <c r="C23" s="17">
        <v>5</v>
      </c>
    </row>
    <row r="24" spans="1:3" x14ac:dyDescent="0.35">
      <c r="A24" s="15" t="s">
        <v>95</v>
      </c>
      <c r="B24" s="17">
        <v>5</v>
      </c>
      <c r="C24" s="17">
        <v>5</v>
      </c>
    </row>
    <row r="25" spans="1:3" x14ac:dyDescent="0.35">
      <c r="A25" s="15" t="s">
        <v>98</v>
      </c>
      <c r="B25" s="17">
        <v>5</v>
      </c>
      <c r="C25" s="17">
        <v>5</v>
      </c>
    </row>
    <row r="26" spans="1:3" x14ac:dyDescent="0.35">
      <c r="A26" s="15" t="s">
        <v>19</v>
      </c>
      <c r="B26" s="17">
        <v>2</v>
      </c>
      <c r="C26" s="17">
        <v>2</v>
      </c>
    </row>
    <row r="27" spans="1:3" x14ac:dyDescent="0.35">
      <c r="A27" s="15" t="s">
        <v>151</v>
      </c>
      <c r="B27" s="17">
        <v>2</v>
      </c>
      <c r="C27" s="17">
        <v>2</v>
      </c>
    </row>
    <row r="28" spans="1:3" x14ac:dyDescent="0.35">
      <c r="A28" s="15" t="s">
        <v>57</v>
      </c>
      <c r="B28" s="17">
        <v>2</v>
      </c>
      <c r="C28" s="17">
        <v>2</v>
      </c>
    </row>
    <row r="29" spans="1:3" x14ac:dyDescent="0.35">
      <c r="A29" s="15" t="s">
        <v>111</v>
      </c>
      <c r="B29" s="17">
        <v>1</v>
      </c>
      <c r="C29" s="17">
        <v>1</v>
      </c>
    </row>
    <row r="30" spans="1:3" x14ac:dyDescent="0.35">
      <c r="A30" s="15" t="s">
        <v>107</v>
      </c>
      <c r="B30" s="17">
        <v>1</v>
      </c>
      <c r="C30" s="17">
        <v>1</v>
      </c>
    </row>
    <row r="31" spans="1:3" x14ac:dyDescent="0.35">
      <c r="A31" s="15" t="s">
        <v>158</v>
      </c>
      <c r="B31" s="17">
        <v>10.192307692307692</v>
      </c>
      <c r="C31" s="17">
        <v>10.192307692307692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1294C-CAD0-4449-824B-8C920B6FF3C0}">
  <dimension ref="A1:C63"/>
  <sheetViews>
    <sheetView workbookViewId="0">
      <selection activeCell="B4" sqref="B4"/>
    </sheetView>
  </sheetViews>
  <sheetFormatPr defaultRowHeight="14.5" x14ac:dyDescent="0.35"/>
  <cols>
    <col min="1" max="1" width="69.54296875" bestFit="1" customWidth="1"/>
    <col min="2" max="2" width="14.54296875" bestFit="1" customWidth="1"/>
    <col min="3" max="3" width="17.7265625" bestFit="1" customWidth="1"/>
  </cols>
  <sheetData>
    <row r="1" spans="1:3" x14ac:dyDescent="0.35">
      <c r="A1" s="14" t="s">
        <v>141</v>
      </c>
      <c r="B1" t="s">
        <v>155</v>
      </c>
    </row>
    <row r="3" spans="1:3" x14ac:dyDescent="0.35">
      <c r="A3" s="14" t="s">
        <v>154</v>
      </c>
      <c r="B3" t="s">
        <v>171</v>
      </c>
      <c r="C3" t="s">
        <v>167</v>
      </c>
    </row>
    <row r="4" spans="1:3" x14ac:dyDescent="0.35">
      <c r="A4" s="15" t="s">
        <v>113</v>
      </c>
      <c r="B4" s="17">
        <v>0</v>
      </c>
      <c r="C4" s="1">
        <v>0.49</v>
      </c>
    </row>
    <row r="5" spans="1:3" x14ac:dyDescent="0.35">
      <c r="A5" s="15" t="s">
        <v>139</v>
      </c>
      <c r="B5" s="17">
        <v>0</v>
      </c>
      <c r="C5" s="1">
        <v>0.47</v>
      </c>
    </row>
    <row r="6" spans="1:3" x14ac:dyDescent="0.35">
      <c r="A6" s="15" t="s">
        <v>70</v>
      </c>
      <c r="B6" s="17">
        <v>0</v>
      </c>
      <c r="C6" s="1">
        <v>0.5</v>
      </c>
    </row>
    <row r="7" spans="1:3" x14ac:dyDescent="0.35">
      <c r="A7" s="15" t="s">
        <v>121</v>
      </c>
      <c r="B7" s="17">
        <v>0</v>
      </c>
      <c r="C7" s="1">
        <v>0.5</v>
      </c>
    </row>
    <row r="8" spans="1:3" x14ac:dyDescent="0.35">
      <c r="A8" s="15" t="s">
        <v>67</v>
      </c>
      <c r="B8" s="17">
        <v>0</v>
      </c>
      <c r="C8" s="1">
        <v>0.49</v>
      </c>
    </row>
    <row r="9" spans="1:3" x14ac:dyDescent="0.35">
      <c r="A9" s="15" t="s">
        <v>104</v>
      </c>
      <c r="B9" s="17">
        <v>0</v>
      </c>
      <c r="C9" s="1">
        <v>0.43</v>
      </c>
    </row>
    <row r="10" spans="1:3" x14ac:dyDescent="0.35">
      <c r="A10" s="15" t="s">
        <v>65</v>
      </c>
      <c r="B10" s="17">
        <v>0</v>
      </c>
      <c r="C10" s="1">
        <v>0.5</v>
      </c>
    </row>
    <row r="11" spans="1:3" x14ac:dyDescent="0.35">
      <c r="A11" s="15" t="s">
        <v>61</v>
      </c>
      <c r="B11" s="17">
        <v>0</v>
      </c>
      <c r="C11" s="1">
        <v>0.49</v>
      </c>
    </row>
    <row r="12" spans="1:3" x14ac:dyDescent="0.35">
      <c r="A12" s="15" t="s">
        <v>76</v>
      </c>
      <c r="B12" s="17">
        <v>0</v>
      </c>
      <c r="C12" s="1">
        <v>0.48</v>
      </c>
    </row>
    <row r="13" spans="1:3" x14ac:dyDescent="0.35">
      <c r="A13" s="15" t="s">
        <v>136</v>
      </c>
      <c r="B13" s="17">
        <v>0</v>
      </c>
      <c r="C13" s="1">
        <v>0.64</v>
      </c>
    </row>
    <row r="14" spans="1:3" x14ac:dyDescent="0.35">
      <c r="A14" s="15" t="s">
        <v>120</v>
      </c>
      <c r="B14" s="17">
        <v>0</v>
      </c>
      <c r="C14" s="1">
        <v>0.47</v>
      </c>
    </row>
    <row r="15" spans="1:3" x14ac:dyDescent="0.35">
      <c r="A15" s="15" t="s">
        <v>117</v>
      </c>
      <c r="B15" s="17">
        <v>0</v>
      </c>
      <c r="C15" s="1">
        <v>0.5</v>
      </c>
    </row>
    <row r="16" spans="1:3" x14ac:dyDescent="0.35">
      <c r="A16" s="15" t="s">
        <v>106</v>
      </c>
      <c r="B16" s="17">
        <v>0</v>
      </c>
      <c r="C16" s="1">
        <v>0.49</v>
      </c>
    </row>
    <row r="17" spans="1:3" x14ac:dyDescent="0.35">
      <c r="A17" s="15" t="s">
        <v>129</v>
      </c>
      <c r="B17" s="17">
        <v>0</v>
      </c>
      <c r="C17" s="1">
        <v>0.41</v>
      </c>
    </row>
    <row r="18" spans="1:3" x14ac:dyDescent="0.35">
      <c r="A18" s="15" t="s">
        <v>69</v>
      </c>
      <c r="B18" s="17">
        <v>0</v>
      </c>
      <c r="C18" s="1">
        <v>0.55000000000000004</v>
      </c>
    </row>
    <row r="19" spans="1:3" x14ac:dyDescent="0.35">
      <c r="A19" s="15" t="s">
        <v>126</v>
      </c>
      <c r="B19" s="17">
        <v>0</v>
      </c>
      <c r="C19" s="1">
        <v>0.49</v>
      </c>
    </row>
    <row r="20" spans="1:3" x14ac:dyDescent="0.35">
      <c r="A20" s="15" t="s">
        <v>74</v>
      </c>
      <c r="B20" s="17">
        <v>0</v>
      </c>
      <c r="C20" s="1">
        <v>0.41</v>
      </c>
    </row>
    <row r="21" spans="1:3" x14ac:dyDescent="0.35">
      <c r="A21" s="15" t="s">
        <v>77</v>
      </c>
      <c r="B21" s="17">
        <v>0</v>
      </c>
      <c r="C21" s="1">
        <v>0.49</v>
      </c>
    </row>
    <row r="22" spans="1:3" x14ac:dyDescent="0.35">
      <c r="A22" s="15" t="s">
        <v>63</v>
      </c>
      <c r="B22" s="17">
        <v>0</v>
      </c>
      <c r="C22" s="1">
        <v>0.42</v>
      </c>
    </row>
    <row r="23" spans="1:3" x14ac:dyDescent="0.35">
      <c r="A23" s="15" t="s">
        <v>103</v>
      </c>
      <c r="B23" s="17">
        <v>0</v>
      </c>
      <c r="C23" s="1">
        <v>0.47</v>
      </c>
    </row>
    <row r="24" spans="1:3" x14ac:dyDescent="0.35">
      <c r="A24" s="15" t="s">
        <v>62</v>
      </c>
      <c r="B24" s="17">
        <v>0</v>
      </c>
      <c r="C24" s="1">
        <v>0.5</v>
      </c>
    </row>
    <row r="25" spans="1:3" x14ac:dyDescent="0.35">
      <c r="A25" s="15" t="s">
        <v>37</v>
      </c>
      <c r="B25" s="17">
        <v>0</v>
      </c>
      <c r="C25" s="1">
        <v>0.42</v>
      </c>
    </row>
    <row r="26" spans="1:3" x14ac:dyDescent="0.35">
      <c r="A26" s="15" t="s">
        <v>116</v>
      </c>
      <c r="B26" s="17">
        <v>0</v>
      </c>
      <c r="C26" s="1">
        <v>0.43</v>
      </c>
    </row>
    <row r="27" spans="1:3" x14ac:dyDescent="0.35">
      <c r="A27" s="15" t="s">
        <v>75</v>
      </c>
      <c r="B27" s="17">
        <v>0</v>
      </c>
      <c r="C27" s="1">
        <v>0.5</v>
      </c>
    </row>
    <row r="28" spans="1:3" x14ac:dyDescent="0.35">
      <c r="A28" s="15" t="s">
        <v>48</v>
      </c>
      <c r="B28" s="17">
        <v>0</v>
      </c>
      <c r="C28" s="1">
        <v>0.46</v>
      </c>
    </row>
    <row r="29" spans="1:3" x14ac:dyDescent="0.35">
      <c r="A29" s="15" t="s">
        <v>127</v>
      </c>
      <c r="B29" s="17">
        <v>0</v>
      </c>
      <c r="C29" s="1">
        <v>0.42</v>
      </c>
    </row>
    <row r="30" spans="1:3" x14ac:dyDescent="0.35">
      <c r="A30" s="15" t="s">
        <v>118</v>
      </c>
      <c r="B30" s="17">
        <v>0</v>
      </c>
      <c r="C30" s="1">
        <v>0.48</v>
      </c>
    </row>
    <row r="31" spans="1:3" x14ac:dyDescent="0.35">
      <c r="A31" s="15" t="s">
        <v>124</v>
      </c>
      <c r="B31" s="17">
        <v>0</v>
      </c>
      <c r="C31" s="1">
        <v>0.49</v>
      </c>
    </row>
    <row r="32" spans="1:3" x14ac:dyDescent="0.35">
      <c r="A32" s="15" t="s">
        <v>119</v>
      </c>
      <c r="B32" s="17">
        <v>0</v>
      </c>
      <c r="C32" s="1">
        <v>0.48</v>
      </c>
    </row>
    <row r="33" spans="1:3" x14ac:dyDescent="0.35">
      <c r="A33" s="15" t="s">
        <v>108</v>
      </c>
      <c r="B33" s="17">
        <v>1</v>
      </c>
      <c r="C33" s="1">
        <v>0.49</v>
      </c>
    </row>
    <row r="34" spans="1:3" x14ac:dyDescent="0.35">
      <c r="A34" s="15" t="s">
        <v>111</v>
      </c>
      <c r="B34" s="17">
        <v>1</v>
      </c>
      <c r="C34" s="1">
        <v>0.49</v>
      </c>
    </row>
    <row r="35" spans="1:3" x14ac:dyDescent="0.35">
      <c r="A35" s="15" t="s">
        <v>137</v>
      </c>
      <c r="B35" s="17">
        <v>1</v>
      </c>
      <c r="C35" s="1">
        <v>0.5</v>
      </c>
    </row>
    <row r="36" spans="1:3" x14ac:dyDescent="0.35">
      <c r="A36" s="15" t="s">
        <v>107</v>
      </c>
      <c r="B36" s="17">
        <v>1</v>
      </c>
      <c r="C36" s="1">
        <v>0.46</v>
      </c>
    </row>
    <row r="37" spans="1:3" x14ac:dyDescent="0.35">
      <c r="A37" s="15" t="s">
        <v>55</v>
      </c>
      <c r="B37" s="17">
        <v>2</v>
      </c>
      <c r="C37" s="1">
        <v>0.53</v>
      </c>
    </row>
    <row r="38" spans="1:3" x14ac:dyDescent="0.35">
      <c r="A38" s="15" t="s">
        <v>31</v>
      </c>
      <c r="B38" s="17">
        <v>2</v>
      </c>
      <c r="C38" s="1">
        <v>0.46</v>
      </c>
    </row>
    <row r="39" spans="1:3" x14ac:dyDescent="0.35">
      <c r="A39" s="15" t="s">
        <v>29</v>
      </c>
      <c r="B39" s="17">
        <v>2</v>
      </c>
      <c r="C39" s="1">
        <v>0.51</v>
      </c>
    </row>
    <row r="40" spans="1:3" x14ac:dyDescent="0.35">
      <c r="A40" s="15" t="s">
        <v>32</v>
      </c>
      <c r="B40" s="17">
        <v>3</v>
      </c>
      <c r="C40" s="1">
        <v>0.49</v>
      </c>
    </row>
    <row r="41" spans="1:3" x14ac:dyDescent="0.35">
      <c r="A41" s="15" t="s">
        <v>21</v>
      </c>
      <c r="B41" s="17">
        <v>5</v>
      </c>
      <c r="C41" s="1">
        <v>0.45</v>
      </c>
    </row>
    <row r="42" spans="1:3" x14ac:dyDescent="0.35">
      <c r="A42" s="15" t="s">
        <v>100</v>
      </c>
      <c r="B42" s="17">
        <v>5</v>
      </c>
      <c r="C42" s="1">
        <v>0.43</v>
      </c>
    </row>
    <row r="43" spans="1:3" x14ac:dyDescent="0.35">
      <c r="A43" s="15" t="s">
        <v>20</v>
      </c>
      <c r="B43" s="17">
        <v>5</v>
      </c>
      <c r="C43" s="1">
        <v>0.55000000000000004</v>
      </c>
    </row>
    <row r="44" spans="1:3" x14ac:dyDescent="0.35">
      <c r="A44" s="15" t="s">
        <v>91</v>
      </c>
      <c r="B44" s="17">
        <v>6</v>
      </c>
      <c r="C44" s="1">
        <v>0.45</v>
      </c>
    </row>
    <row r="45" spans="1:3" x14ac:dyDescent="0.35">
      <c r="A45" s="15" t="s">
        <v>99</v>
      </c>
      <c r="B45" s="17">
        <v>6</v>
      </c>
      <c r="C45" s="1">
        <v>0.43</v>
      </c>
    </row>
    <row r="46" spans="1:3" x14ac:dyDescent="0.35">
      <c r="A46" s="15" t="s">
        <v>101</v>
      </c>
      <c r="B46" s="17">
        <v>6</v>
      </c>
      <c r="C46" s="1">
        <v>0.47</v>
      </c>
    </row>
    <row r="47" spans="1:3" x14ac:dyDescent="0.35">
      <c r="A47" s="15" t="s">
        <v>26</v>
      </c>
      <c r="B47" s="17">
        <v>6</v>
      </c>
      <c r="C47" s="1">
        <v>0.42</v>
      </c>
    </row>
    <row r="48" spans="1:3" x14ac:dyDescent="0.35">
      <c r="A48" s="15" t="s">
        <v>42</v>
      </c>
      <c r="B48" s="17">
        <v>7</v>
      </c>
      <c r="C48" s="1">
        <v>0.54</v>
      </c>
    </row>
    <row r="49" spans="1:3" x14ac:dyDescent="0.35">
      <c r="A49" s="15" t="s">
        <v>93</v>
      </c>
      <c r="B49" s="17">
        <v>7</v>
      </c>
      <c r="C49" s="1">
        <v>0.5</v>
      </c>
    </row>
    <row r="50" spans="1:3" x14ac:dyDescent="0.35">
      <c r="A50" s="15" t="s">
        <v>102</v>
      </c>
      <c r="B50" s="17">
        <v>7</v>
      </c>
      <c r="C50" s="1">
        <v>0.47</v>
      </c>
    </row>
    <row r="51" spans="1:3" x14ac:dyDescent="0.35">
      <c r="A51" s="15" t="s">
        <v>49</v>
      </c>
      <c r="B51" s="17">
        <v>9</v>
      </c>
      <c r="C51" s="1">
        <v>0.52</v>
      </c>
    </row>
    <row r="52" spans="1:3" x14ac:dyDescent="0.35">
      <c r="A52" s="15" t="s">
        <v>51</v>
      </c>
      <c r="B52" s="17">
        <v>9</v>
      </c>
      <c r="C52" s="1">
        <v>0.48</v>
      </c>
    </row>
    <row r="53" spans="1:3" x14ac:dyDescent="0.35">
      <c r="A53" s="15" t="s">
        <v>81</v>
      </c>
      <c r="B53" s="17">
        <v>10</v>
      </c>
      <c r="C53" s="1">
        <v>0.54</v>
      </c>
    </row>
    <row r="54" spans="1:3" x14ac:dyDescent="0.35">
      <c r="A54" s="15" t="s">
        <v>25</v>
      </c>
      <c r="B54" s="17">
        <v>12</v>
      </c>
      <c r="C54" s="1">
        <v>0.47</v>
      </c>
    </row>
    <row r="55" spans="1:3" x14ac:dyDescent="0.35">
      <c r="A55" s="15" t="s">
        <v>35</v>
      </c>
      <c r="B55" s="17">
        <v>13</v>
      </c>
      <c r="C55" s="1">
        <v>0.53</v>
      </c>
    </row>
    <row r="56" spans="1:3" x14ac:dyDescent="0.35">
      <c r="A56" s="15" t="s">
        <v>83</v>
      </c>
      <c r="B56" s="17">
        <v>13</v>
      </c>
      <c r="C56" s="1">
        <v>0.55000000000000004</v>
      </c>
    </row>
    <row r="57" spans="1:3" x14ac:dyDescent="0.35">
      <c r="A57" s="15" t="s">
        <v>8</v>
      </c>
      <c r="B57" s="17">
        <v>14</v>
      </c>
      <c r="C57" s="1">
        <v>0.47</v>
      </c>
    </row>
    <row r="58" spans="1:3" x14ac:dyDescent="0.35">
      <c r="A58" s="15" t="s">
        <v>87</v>
      </c>
      <c r="B58" s="17">
        <v>15</v>
      </c>
      <c r="C58" s="1">
        <v>0.52</v>
      </c>
    </row>
    <row r="59" spans="1:3" x14ac:dyDescent="0.35">
      <c r="A59" s="15" t="s">
        <v>96</v>
      </c>
      <c r="B59" s="17">
        <v>17</v>
      </c>
      <c r="C59" s="1">
        <v>0.45</v>
      </c>
    </row>
    <row r="60" spans="1:3" x14ac:dyDescent="0.35">
      <c r="A60" s="15" t="s">
        <v>56</v>
      </c>
      <c r="B60" s="17">
        <v>36</v>
      </c>
      <c r="C60" s="1">
        <v>0.41</v>
      </c>
    </row>
    <row r="61" spans="1:3" x14ac:dyDescent="0.35">
      <c r="A61" s="15" t="s">
        <v>34</v>
      </c>
      <c r="B61" s="17">
        <v>44</v>
      </c>
      <c r="C61" s="1">
        <v>0.49</v>
      </c>
    </row>
    <row r="62" spans="1:3" x14ac:dyDescent="0.35">
      <c r="A62" s="15" t="s">
        <v>85</v>
      </c>
      <c r="B62" s="17">
        <v>69</v>
      </c>
      <c r="C62" s="1">
        <v>0.49</v>
      </c>
    </row>
    <row r="63" spans="1:3" x14ac:dyDescent="0.35">
      <c r="A63" s="15" t="s">
        <v>158</v>
      </c>
      <c r="B63" s="17">
        <v>334</v>
      </c>
      <c r="C63" s="1">
        <v>0.48338709677419345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1DF-8A28-414C-A7DA-3B9A02433EC3}">
  <sheetPr>
    <pageSetUpPr fitToPage="1"/>
  </sheetPr>
  <dimension ref="A1"/>
  <sheetViews>
    <sheetView tabSelected="1" zoomScale="72" zoomScaleNormal="72" workbookViewId="0">
      <selection activeCell="AA10" sqref="AA10"/>
    </sheetView>
  </sheetViews>
  <sheetFormatPr defaultRowHeight="14.5" x14ac:dyDescent="0.35"/>
  <cols>
    <col min="1" max="5" width="8.7265625" style="16"/>
    <col min="6" max="7" width="8.7265625" style="16" customWidth="1"/>
    <col min="8" max="16384" width="8.7265625" style="16"/>
  </cols>
  <sheetData/>
  <pageMargins left="0.7" right="0.7" top="0.75" bottom="0.75" header="0.3" footer="0.3"/>
  <pageSetup paperSize="9" scale="58" fitToHeight="0" orientation="landscape" horizontalDpi="360" verticalDpi="36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Excel_jumia_dataset</vt:lpstr>
      <vt:lpstr>Data Cleaning and Preparation</vt:lpstr>
      <vt:lpstr>Data Enrichment</vt:lpstr>
      <vt:lpstr>Data Analysis Dscr. Stat.</vt:lpstr>
      <vt:lpstr>Trend Analysis Master</vt:lpstr>
      <vt:lpstr>Trend Analysis 1</vt:lpstr>
      <vt:lpstr>Trend Analysis 2</vt:lpstr>
      <vt:lpstr>Trend Analysis 3</vt:lpstr>
      <vt:lpstr>Trend Analysis 4</vt:lpstr>
      <vt:lpstr>Trend Analysis 5</vt:lpstr>
      <vt:lpstr>Price Categories</vt:lpstr>
      <vt:lpstr>Rating Categories</vt:lpstr>
      <vt:lpstr>Discount Categories</vt:lpstr>
      <vt:lpstr>Product Perf. Analysis Master  </vt:lpstr>
      <vt:lpstr>Product Performance Analysis 1</vt:lpstr>
      <vt:lpstr>Product Performance Analysis 2</vt:lpstr>
      <vt:lpstr>Product Performance Analysis 3</vt:lpstr>
      <vt:lpstr>Product Performance Analysis 4</vt:lpstr>
      <vt:lpstr>Product Performance Analysis 5</vt:lpstr>
      <vt:lpstr>Seller Performance Analysis</vt:lpstr>
      <vt:lpstr>Seller Performance Analysis 1</vt:lpstr>
      <vt:lpstr>Seller Performance Analysis 2</vt:lpstr>
      <vt:lpstr>Seller Performance Analysis 3</vt:lpstr>
      <vt:lpstr>Seller Performance Analysis 4</vt:lpstr>
      <vt:lpstr>Dashboard Section 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DONNEX OKUN</dc:creator>
  <cp:lastModifiedBy>DONNEX OKUN</cp:lastModifiedBy>
  <cp:lastPrinted>2026-09-28T06:12:00Z</cp:lastPrinted>
  <dcterms:created xsi:type="dcterms:W3CDTF">2026-09-28T06:12:29Z</dcterms:created>
  <dcterms:modified xsi:type="dcterms:W3CDTF">2026-09-29T20:23:58Z</dcterms:modified>
</cp:coreProperties>
</file>